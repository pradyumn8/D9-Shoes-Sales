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TOP\Alantic Max Sports\D9 Stock And Sales Register\"/>
    </mc:Choice>
  </mc:AlternateContent>
  <xr:revisionPtr revIDLastSave="0" documentId="13_ncr:1_{06748E62-165C-4ED3-A84E-C4049F3576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List" sheetId="4" r:id="rId1"/>
    <sheet name="Sheet1" sheetId="6" r:id="rId2"/>
    <sheet name="Cash Reconciliation" sheetId="5" r:id="rId3"/>
  </sheets>
  <definedNames>
    <definedName name="_xlnm._FilterDatabase" localSheetId="0" hidden="1">'Sales List'!$A$2:$AF$306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12" i="4" l="1"/>
  <c r="R312" i="4" s="1"/>
  <c r="P312" i="4"/>
  <c r="K312" i="4"/>
  <c r="L312" i="4" s="1"/>
  <c r="P311" i="4"/>
  <c r="K311" i="4"/>
  <c r="L311" i="4" s="1"/>
  <c r="P310" i="4"/>
  <c r="K310" i="4"/>
  <c r="L310" i="4" s="1"/>
  <c r="P309" i="4"/>
  <c r="K309" i="4"/>
  <c r="L309" i="4" s="1"/>
  <c r="P308" i="4"/>
  <c r="K308" i="4"/>
  <c r="L308" i="4" s="1"/>
  <c r="P307" i="4"/>
  <c r="Q307" i="4" s="1"/>
  <c r="R307" i="4" s="1"/>
  <c r="K307" i="4"/>
  <c r="L307" i="4" s="1"/>
  <c r="K306" i="4"/>
  <c r="L306" i="4"/>
  <c r="N306" i="4"/>
  <c r="P306" i="4"/>
  <c r="Q306" i="4"/>
  <c r="R306" i="4"/>
  <c r="N305" i="4"/>
  <c r="P305" i="4" s="1"/>
  <c r="K305" i="4"/>
  <c r="L305" i="4" s="1"/>
  <c r="P304" i="4"/>
  <c r="Q304" i="4" s="1"/>
  <c r="R304" i="4" s="1"/>
  <c r="K304" i="4"/>
  <c r="L304" i="4" s="1"/>
  <c r="N303" i="4"/>
  <c r="K303" i="4"/>
  <c r="L303" i="4" s="1"/>
  <c r="P302" i="4"/>
  <c r="K302" i="4"/>
  <c r="L302" i="4" s="1"/>
  <c r="P301" i="4"/>
  <c r="K301" i="4"/>
  <c r="L301" i="4" s="1"/>
  <c r="P300" i="4"/>
  <c r="Q300" i="4" s="1"/>
  <c r="R300" i="4" s="1"/>
  <c r="K300" i="4"/>
  <c r="L300" i="4" s="1"/>
  <c r="K208" i="4"/>
  <c r="L208" i="4" s="1"/>
  <c r="Q311" i="4" l="1"/>
  <c r="R311" i="4" s="1"/>
  <c r="Q310" i="4"/>
  <c r="R310" i="4" s="1"/>
  <c r="Q309" i="4"/>
  <c r="R309" i="4" s="1"/>
  <c r="Q308" i="4"/>
  <c r="R308" i="4" s="1"/>
  <c r="Q305" i="4"/>
  <c r="R305" i="4" s="1"/>
  <c r="Q302" i="4"/>
  <c r="R302" i="4" s="1"/>
  <c r="Q301" i="4"/>
  <c r="R301" i="4" s="1"/>
  <c r="P299" i="4" l="1"/>
  <c r="K299" i="4"/>
  <c r="L299" i="4" s="1"/>
  <c r="P298" i="4"/>
  <c r="K298" i="4"/>
  <c r="L298" i="4" s="1"/>
  <c r="P297" i="4"/>
  <c r="Q297" i="4" s="1"/>
  <c r="R297" i="4" s="1"/>
  <c r="K297" i="4"/>
  <c r="L297" i="4" s="1"/>
  <c r="P296" i="4"/>
  <c r="K296" i="4"/>
  <c r="L296" i="4" s="1"/>
  <c r="P295" i="4"/>
  <c r="K295" i="4"/>
  <c r="L295" i="4" s="1"/>
  <c r="P294" i="4"/>
  <c r="K294" i="4"/>
  <c r="L294" i="4" s="1"/>
  <c r="P293" i="4"/>
  <c r="K293" i="4"/>
  <c r="L293" i="4" s="1"/>
  <c r="P292" i="4"/>
  <c r="Q292" i="4" s="1"/>
  <c r="R292" i="4" s="1"/>
  <c r="K292" i="4"/>
  <c r="L292" i="4" s="1"/>
  <c r="Q295" i="4" l="1"/>
  <c r="R295" i="4" s="1"/>
  <c r="Q293" i="4"/>
  <c r="R293" i="4" s="1"/>
  <c r="Q298" i="4"/>
  <c r="R298" i="4" s="1"/>
  <c r="Q296" i="4"/>
  <c r="R296" i="4" s="1"/>
  <c r="Q294" i="4"/>
  <c r="R294" i="4" s="1"/>
  <c r="Q299" i="4"/>
  <c r="R299" i="4" s="1"/>
  <c r="P257" i="4" l="1"/>
  <c r="Q257" i="4" s="1"/>
  <c r="R257" i="4" s="1"/>
  <c r="P256" i="4"/>
  <c r="Q256" i="4" s="1"/>
  <c r="P255" i="4"/>
  <c r="Q255" i="4" s="1"/>
  <c r="P291" i="4"/>
  <c r="Q291" i="4" s="1"/>
  <c r="R291" i="4" s="1"/>
  <c r="K291" i="4"/>
  <c r="L291" i="4" s="1"/>
  <c r="K276" i="4"/>
  <c r="L276" i="4" s="1"/>
  <c r="P276" i="4"/>
  <c r="Q276" i="4" s="1"/>
  <c r="R276" i="4" s="1"/>
  <c r="P275" i="4"/>
  <c r="Q275" i="4" s="1"/>
  <c r="R275" i="4" s="1"/>
  <c r="K275" i="4"/>
  <c r="L275" i="4" s="1"/>
  <c r="P290" i="4"/>
  <c r="K290" i="4"/>
  <c r="L290" i="4" s="1"/>
  <c r="P289" i="4"/>
  <c r="Q289" i="4" s="1"/>
  <c r="R289" i="4" s="1"/>
  <c r="K289" i="4"/>
  <c r="L289" i="4" s="1"/>
  <c r="P288" i="4"/>
  <c r="K288" i="4"/>
  <c r="L288" i="4" s="1"/>
  <c r="P287" i="4"/>
  <c r="K287" i="4"/>
  <c r="L287" i="4" s="1"/>
  <c r="P286" i="4"/>
  <c r="K286" i="4"/>
  <c r="L286" i="4" s="1"/>
  <c r="P285" i="4"/>
  <c r="K285" i="4"/>
  <c r="L285" i="4" s="1"/>
  <c r="P284" i="4"/>
  <c r="Q284" i="4" s="1"/>
  <c r="K284" i="4"/>
  <c r="L284" i="4" s="1"/>
  <c r="P283" i="4"/>
  <c r="K283" i="4"/>
  <c r="L283" i="4" s="1"/>
  <c r="P261" i="4"/>
  <c r="Q261" i="4" s="1"/>
  <c r="K261" i="4"/>
  <c r="L261" i="4" s="1"/>
  <c r="P260" i="4"/>
  <c r="Q260" i="4" s="1"/>
  <c r="K260" i="4"/>
  <c r="L260" i="4" s="1"/>
  <c r="P259" i="4"/>
  <c r="Q259" i="4" s="1"/>
  <c r="P258" i="4"/>
  <c r="K259" i="4"/>
  <c r="L259" i="4" s="1"/>
  <c r="K258" i="4"/>
  <c r="L258" i="4" s="1"/>
  <c r="J315" i="4"/>
  <c r="N282" i="4"/>
  <c r="P282" i="4" s="1"/>
  <c r="K282" i="4"/>
  <c r="L282" i="4" s="1"/>
  <c r="N281" i="4"/>
  <c r="P281" i="4" s="1"/>
  <c r="K281" i="4"/>
  <c r="L281" i="4" s="1"/>
  <c r="N280" i="4"/>
  <c r="P280" i="4" s="1"/>
  <c r="K280" i="4"/>
  <c r="L280" i="4" s="1"/>
  <c r="N279" i="4"/>
  <c r="P279" i="4" s="1"/>
  <c r="K279" i="4"/>
  <c r="L279" i="4" s="1"/>
  <c r="N278" i="4"/>
  <c r="P278" i="4" s="1"/>
  <c r="K278" i="4"/>
  <c r="L278" i="4" s="1"/>
  <c r="N277" i="4"/>
  <c r="P277" i="4" s="1"/>
  <c r="K277" i="4"/>
  <c r="L277" i="4" s="1"/>
  <c r="N274" i="4"/>
  <c r="P274" i="4" s="1"/>
  <c r="K274" i="4"/>
  <c r="L274" i="4" s="1"/>
  <c r="N273" i="4"/>
  <c r="P273" i="4" s="1"/>
  <c r="K273" i="4"/>
  <c r="L273" i="4" s="1"/>
  <c r="N272" i="4"/>
  <c r="P272" i="4" s="1"/>
  <c r="K272" i="4"/>
  <c r="L272" i="4" s="1"/>
  <c r="N271" i="4"/>
  <c r="P271" i="4" s="1"/>
  <c r="K271" i="4"/>
  <c r="L271" i="4" s="1"/>
  <c r="N270" i="4"/>
  <c r="P270" i="4" s="1"/>
  <c r="K270" i="4"/>
  <c r="L270" i="4" s="1"/>
  <c r="N269" i="4"/>
  <c r="P269" i="4" s="1"/>
  <c r="K269" i="4"/>
  <c r="L269" i="4" s="1"/>
  <c r="N268" i="4"/>
  <c r="P268" i="4" s="1"/>
  <c r="K268" i="4"/>
  <c r="L268" i="4" s="1"/>
  <c r="N262" i="4"/>
  <c r="P262" i="4" s="1"/>
  <c r="K262" i="4"/>
  <c r="L262" i="4" s="1"/>
  <c r="N267" i="4"/>
  <c r="P267" i="4" s="1"/>
  <c r="K267" i="4"/>
  <c r="L267" i="4" s="1"/>
  <c r="N266" i="4"/>
  <c r="P266" i="4" s="1"/>
  <c r="K266" i="4"/>
  <c r="L266" i="4" s="1"/>
  <c r="N265" i="4"/>
  <c r="P265" i="4" s="1"/>
  <c r="K265" i="4"/>
  <c r="L265" i="4" s="1"/>
  <c r="N264" i="4"/>
  <c r="P264" i="4" s="1"/>
  <c r="Q264" i="4" s="1"/>
  <c r="R264" i="4" s="1"/>
  <c r="K264" i="4"/>
  <c r="L264" i="4" s="1"/>
  <c r="N263" i="4"/>
  <c r="P263" i="4" s="1"/>
  <c r="K263" i="4"/>
  <c r="L263" i="4" s="1"/>
  <c r="K257" i="4"/>
  <c r="L257" i="4" s="1"/>
  <c r="K256" i="4"/>
  <c r="L256" i="4" s="1"/>
  <c r="K255" i="4"/>
  <c r="L255" i="4" s="1"/>
  <c r="P253" i="4"/>
  <c r="P254" i="4"/>
  <c r="K254" i="4"/>
  <c r="L254" i="4" s="1"/>
  <c r="K253" i="4"/>
  <c r="L253" i="4" s="1"/>
  <c r="P252" i="4"/>
  <c r="K252" i="4"/>
  <c r="L252" i="4" s="1"/>
  <c r="Q290" i="4" l="1"/>
  <c r="R290" i="4" s="1"/>
  <c r="Q288" i="4"/>
  <c r="R288" i="4" s="1"/>
  <c r="Q287" i="4"/>
  <c r="R287" i="4" s="1"/>
  <c r="Q286" i="4"/>
  <c r="R286" i="4" s="1"/>
  <c r="R261" i="4"/>
  <c r="Q283" i="4"/>
  <c r="R283" i="4" s="1"/>
  <c r="R284" i="4"/>
  <c r="Q285" i="4"/>
  <c r="R285" i="4" s="1"/>
  <c r="R260" i="4"/>
  <c r="R259" i="4"/>
  <c r="Q258" i="4"/>
  <c r="R258" i="4" s="1"/>
  <c r="Q282" i="4"/>
  <c r="R282" i="4" s="1"/>
  <c r="Q281" i="4"/>
  <c r="R281" i="4" s="1"/>
  <c r="Q280" i="4"/>
  <c r="R280" i="4" s="1"/>
  <c r="Q279" i="4"/>
  <c r="R279" i="4" s="1"/>
  <c r="Q278" i="4"/>
  <c r="R278" i="4" s="1"/>
  <c r="Q277" i="4"/>
  <c r="R277" i="4" s="1"/>
  <c r="Q274" i="4"/>
  <c r="R274" i="4" s="1"/>
  <c r="Q273" i="4"/>
  <c r="R273" i="4" s="1"/>
  <c r="Q272" i="4"/>
  <c r="R272" i="4" s="1"/>
  <c r="Q271" i="4"/>
  <c r="R271" i="4" s="1"/>
  <c r="Q270" i="4"/>
  <c r="R270" i="4" s="1"/>
  <c r="Q269" i="4"/>
  <c r="R269" i="4" s="1"/>
  <c r="Q268" i="4"/>
  <c r="R268" i="4" s="1"/>
  <c r="Q262" i="4"/>
  <c r="R262" i="4" s="1"/>
  <c r="Q267" i="4"/>
  <c r="R267" i="4" s="1"/>
  <c r="Q266" i="4"/>
  <c r="R266" i="4" s="1"/>
  <c r="Q265" i="4"/>
  <c r="R265" i="4" s="1"/>
  <c r="Q263" i="4"/>
  <c r="R263" i="4" s="1"/>
  <c r="R256" i="4"/>
  <c r="R255" i="4"/>
  <c r="Q253" i="4"/>
  <c r="R253" i="4" s="1"/>
  <c r="Q252" i="4"/>
  <c r="R252" i="4" s="1"/>
  <c r="Q254" i="4"/>
  <c r="R254" i="4" s="1"/>
  <c r="P251" i="4" l="1"/>
  <c r="P318" i="4" s="1"/>
  <c r="N249" i="4"/>
  <c r="P249" i="4" s="1"/>
  <c r="M249" i="4"/>
  <c r="P250" i="4"/>
  <c r="K250" i="4"/>
  <c r="L250" i="4" s="1"/>
  <c r="K249" i="4"/>
  <c r="L249" i="4" s="1"/>
  <c r="P248" i="4"/>
  <c r="Q248" i="4" s="1"/>
  <c r="R248" i="4" s="1"/>
  <c r="K248" i="4"/>
  <c r="L248" i="4" s="1"/>
  <c r="P247" i="4"/>
  <c r="K247" i="4"/>
  <c r="L247" i="4" s="1"/>
  <c r="P246" i="4"/>
  <c r="K246" i="4"/>
  <c r="L246" i="4" s="1"/>
  <c r="E9" i="6"/>
  <c r="P245" i="4"/>
  <c r="P322" i="4" s="1"/>
  <c r="K245" i="4"/>
  <c r="L245" i="4" s="1"/>
  <c r="P244" i="4"/>
  <c r="K244" i="4"/>
  <c r="L244" i="4" s="1"/>
  <c r="Q251" i="4" l="1"/>
  <c r="R251" i="4" s="1"/>
  <c r="Q246" i="4"/>
  <c r="R246" i="4" s="1"/>
  <c r="Q249" i="4"/>
  <c r="R249" i="4" s="1"/>
  <c r="Q247" i="4"/>
  <c r="R247" i="4" s="1"/>
  <c r="Q250" i="4"/>
  <c r="R250" i="4" s="1"/>
  <c r="Q244" i="4"/>
  <c r="R244" i="4" s="1"/>
  <c r="Q245" i="4"/>
  <c r="R245" i="4" s="1"/>
  <c r="G20" i="5" l="1"/>
  <c r="P164" i="4"/>
  <c r="Q164" i="4" s="1"/>
  <c r="P189" i="4"/>
  <c r="P243" i="4"/>
  <c r="K243" i="4"/>
  <c r="L243" i="4" s="1"/>
  <c r="P242" i="4"/>
  <c r="Q242" i="4" s="1"/>
  <c r="R242" i="4" s="1"/>
  <c r="K242" i="4"/>
  <c r="L242" i="4" s="1"/>
  <c r="P241" i="4"/>
  <c r="Q241" i="4" s="1"/>
  <c r="R241" i="4" s="1"/>
  <c r="K241" i="4"/>
  <c r="L241" i="4" s="1"/>
  <c r="P240" i="4"/>
  <c r="Q240" i="4" s="1"/>
  <c r="R240" i="4" s="1"/>
  <c r="K240" i="4"/>
  <c r="L240" i="4" s="1"/>
  <c r="P239" i="4"/>
  <c r="Q239" i="4" s="1"/>
  <c r="R239" i="4" s="1"/>
  <c r="K239" i="4"/>
  <c r="L239" i="4" s="1"/>
  <c r="P238" i="4"/>
  <c r="K238" i="4"/>
  <c r="L238" i="4" s="1"/>
  <c r="P237" i="4"/>
  <c r="Q237" i="4" s="1"/>
  <c r="R237" i="4" s="1"/>
  <c r="K237" i="4"/>
  <c r="L237" i="4" s="1"/>
  <c r="P236" i="4"/>
  <c r="Q236" i="4" s="1"/>
  <c r="R236" i="4" s="1"/>
  <c r="K236" i="4"/>
  <c r="L236" i="4" s="1"/>
  <c r="K235" i="4"/>
  <c r="L235" i="4" s="1"/>
  <c r="P235" i="4"/>
  <c r="P234" i="4"/>
  <c r="K234" i="4"/>
  <c r="L234" i="4" s="1"/>
  <c r="P233" i="4"/>
  <c r="Q233" i="4" s="1"/>
  <c r="R233" i="4" s="1"/>
  <c r="K233" i="4"/>
  <c r="L233" i="4" s="1"/>
  <c r="P232" i="4"/>
  <c r="K232" i="4"/>
  <c r="L232" i="4" s="1"/>
  <c r="P231" i="4"/>
  <c r="K231" i="4"/>
  <c r="L231" i="4" s="1"/>
  <c r="P230" i="4"/>
  <c r="Q230" i="4" s="1"/>
  <c r="R230" i="4" s="1"/>
  <c r="K230" i="4"/>
  <c r="L230" i="4" s="1"/>
  <c r="P229" i="4"/>
  <c r="K229" i="4"/>
  <c r="L229" i="4" s="1"/>
  <c r="P228" i="4"/>
  <c r="K228" i="4"/>
  <c r="L228" i="4" s="1"/>
  <c r="P227" i="4"/>
  <c r="Q227" i="4" s="1"/>
  <c r="R227" i="4" s="1"/>
  <c r="K227" i="4"/>
  <c r="L227" i="4" s="1"/>
  <c r="P226" i="4"/>
  <c r="Q226" i="4" s="1"/>
  <c r="R226" i="4" s="1"/>
  <c r="K226" i="4"/>
  <c r="L226" i="4" s="1"/>
  <c r="P225" i="4"/>
  <c r="Q225" i="4" s="1"/>
  <c r="R225" i="4" s="1"/>
  <c r="K225" i="4"/>
  <c r="L225" i="4" s="1"/>
  <c r="P224" i="4"/>
  <c r="Q224" i="4" s="1"/>
  <c r="K224" i="4"/>
  <c r="L224" i="4" s="1"/>
  <c r="K222" i="4"/>
  <c r="L222" i="4" s="1"/>
  <c r="P223" i="4"/>
  <c r="K223" i="4"/>
  <c r="L223" i="4" s="1"/>
  <c r="P222" i="4"/>
  <c r="Q122" i="4"/>
  <c r="K201" i="4"/>
  <c r="P221" i="4"/>
  <c r="P220" i="4"/>
  <c r="K221" i="4"/>
  <c r="L221" i="4" s="1"/>
  <c r="K220" i="4"/>
  <c r="L220" i="4" s="1"/>
  <c r="P219" i="4"/>
  <c r="Q219" i="4" s="1"/>
  <c r="R219" i="4" s="1"/>
  <c r="K219" i="4"/>
  <c r="L219" i="4" s="1"/>
  <c r="P218" i="4"/>
  <c r="Q218" i="4" s="1"/>
  <c r="R218" i="4" s="1"/>
  <c r="K218" i="4"/>
  <c r="L218" i="4" s="1"/>
  <c r="P217" i="4"/>
  <c r="P216" i="4"/>
  <c r="K217" i="4"/>
  <c r="L217" i="4" s="1"/>
  <c r="K216" i="4"/>
  <c r="L216" i="4" s="1"/>
  <c r="P215" i="4"/>
  <c r="Q215" i="4" s="1"/>
  <c r="R215" i="4" s="1"/>
  <c r="K215" i="4"/>
  <c r="L215" i="4" s="1"/>
  <c r="P214" i="4"/>
  <c r="K214" i="4"/>
  <c r="L214" i="4" s="1"/>
  <c r="P213" i="4"/>
  <c r="K213" i="4"/>
  <c r="L213" i="4" s="1"/>
  <c r="P212" i="4"/>
  <c r="Q212" i="4" s="1"/>
  <c r="R212" i="4" s="1"/>
  <c r="K212" i="4"/>
  <c r="L212" i="4" s="1"/>
  <c r="P211" i="4"/>
  <c r="Q211" i="4" s="1"/>
  <c r="R211" i="4" s="1"/>
  <c r="K211" i="4"/>
  <c r="L211" i="4" s="1"/>
  <c r="P210" i="4"/>
  <c r="Q210" i="4" s="1"/>
  <c r="R210" i="4" s="1"/>
  <c r="K210" i="4"/>
  <c r="L210" i="4" s="1"/>
  <c r="P209" i="4"/>
  <c r="K209" i="4"/>
  <c r="L209" i="4" s="1"/>
  <c r="P208" i="4"/>
  <c r="Q146" i="4"/>
  <c r="R146" i="4" s="1"/>
  <c r="K146" i="4"/>
  <c r="L146" i="4" s="1"/>
  <c r="Q207" i="4"/>
  <c r="R207" i="4" s="1"/>
  <c r="K207" i="4"/>
  <c r="L207" i="4" s="1"/>
  <c r="Q206" i="4"/>
  <c r="R206" i="4" s="1"/>
  <c r="K206" i="4"/>
  <c r="L206" i="4" s="1"/>
  <c r="Q205" i="4"/>
  <c r="R205" i="4" s="1"/>
  <c r="K205" i="4"/>
  <c r="L205" i="4" s="1"/>
  <c r="P204" i="4"/>
  <c r="Q204" i="4" s="1"/>
  <c r="K204" i="4"/>
  <c r="L204" i="4" s="1"/>
  <c r="Q189" i="4" l="1"/>
  <c r="Q243" i="4"/>
  <c r="R243" i="4" s="1"/>
  <c r="Q238" i="4"/>
  <c r="R238" i="4" s="1"/>
  <c r="Q235" i="4"/>
  <c r="R235" i="4" s="1"/>
  <c r="Q234" i="4"/>
  <c r="R234" i="4" s="1"/>
  <c r="Q232" i="4"/>
  <c r="R232" i="4" s="1"/>
  <c r="Q231" i="4"/>
  <c r="R231" i="4" s="1"/>
  <c r="Q229" i="4"/>
  <c r="R229" i="4" s="1"/>
  <c r="Q228" i="4"/>
  <c r="R228" i="4" s="1"/>
  <c r="R224" i="4"/>
  <c r="Q222" i="4"/>
  <c r="R222" i="4" s="1"/>
  <c r="Q223" i="4"/>
  <c r="R223" i="4" s="1"/>
  <c r="Q221" i="4"/>
  <c r="R221" i="4" s="1"/>
  <c r="Q220" i="4"/>
  <c r="R220" i="4" s="1"/>
  <c r="Q216" i="4"/>
  <c r="R216" i="4" s="1"/>
  <c r="Q217" i="4"/>
  <c r="R217" i="4" s="1"/>
  <c r="Q214" i="4"/>
  <c r="R214" i="4" s="1"/>
  <c r="Q213" i="4"/>
  <c r="R213" i="4" s="1"/>
  <c r="Q209" i="4"/>
  <c r="R209" i="4" s="1"/>
  <c r="Q208" i="4"/>
  <c r="R208" i="4" s="1"/>
  <c r="R204" i="4"/>
  <c r="P203" i="4"/>
  <c r="Q203" i="4" s="1"/>
  <c r="R203" i="4" s="1"/>
  <c r="K203" i="4"/>
  <c r="L203" i="4" s="1"/>
  <c r="P202" i="4"/>
  <c r="K202" i="4"/>
  <c r="L202" i="4" s="1"/>
  <c r="P201" i="4"/>
  <c r="Q201" i="4" s="1"/>
  <c r="L201" i="4"/>
  <c r="P200" i="4"/>
  <c r="K200" i="4"/>
  <c r="L200" i="4" s="1"/>
  <c r="Q147" i="4"/>
  <c r="R147" i="4" s="1"/>
  <c r="K147" i="4"/>
  <c r="L147" i="4" s="1"/>
  <c r="P199" i="4"/>
  <c r="K199" i="4"/>
  <c r="L199" i="4" s="1"/>
  <c r="P198" i="4"/>
  <c r="Q198" i="4" s="1"/>
  <c r="R198" i="4" s="1"/>
  <c r="K198" i="4"/>
  <c r="L198" i="4" s="1"/>
  <c r="P197" i="4"/>
  <c r="Q197" i="4" s="1"/>
  <c r="K197" i="4"/>
  <c r="L197" i="4" s="1"/>
  <c r="K196" i="4"/>
  <c r="L196" i="4" s="1"/>
  <c r="P196" i="4"/>
  <c r="Q196" i="4" s="1"/>
  <c r="R196" i="4" s="1"/>
  <c r="P195" i="4"/>
  <c r="Q195" i="4" s="1"/>
  <c r="K195" i="4"/>
  <c r="L195" i="4" s="1"/>
  <c r="Q139" i="4"/>
  <c r="R139" i="4" s="1"/>
  <c r="K139" i="4"/>
  <c r="L139" i="4" s="1"/>
  <c r="P194" i="4"/>
  <c r="Q194" i="4" s="1"/>
  <c r="K194" i="4"/>
  <c r="L194" i="4" s="1"/>
  <c r="P193" i="4"/>
  <c r="Q193" i="4" s="1"/>
  <c r="R193" i="4" s="1"/>
  <c r="K193" i="4"/>
  <c r="L193" i="4" s="1"/>
  <c r="P192" i="4"/>
  <c r="Q192" i="4" s="1"/>
  <c r="K192" i="4"/>
  <c r="L192" i="4" s="1"/>
  <c r="K190" i="4"/>
  <c r="L190" i="4" s="1"/>
  <c r="K188" i="4"/>
  <c r="L188" i="4" s="1"/>
  <c r="K135" i="4"/>
  <c r="L135" i="4" s="1"/>
  <c r="K134" i="4"/>
  <c r="L134" i="4" s="1"/>
  <c r="K133" i="4"/>
  <c r="L133" i="4" s="1"/>
  <c r="K132" i="4"/>
  <c r="L132" i="4" s="1"/>
  <c r="K131" i="4"/>
  <c r="L131" i="4" s="1"/>
  <c r="K115" i="4"/>
  <c r="L115" i="4" s="1"/>
  <c r="K114" i="4"/>
  <c r="L114" i="4" s="1"/>
  <c r="K113" i="4"/>
  <c r="L113" i="4" s="1"/>
  <c r="K112" i="4"/>
  <c r="L112" i="4" s="1"/>
  <c r="K191" i="4"/>
  <c r="L191" i="4" s="1"/>
  <c r="P191" i="4"/>
  <c r="Q191" i="4" s="1"/>
  <c r="P190" i="4"/>
  <c r="K189" i="4"/>
  <c r="L189" i="4" s="1"/>
  <c r="P188" i="4"/>
  <c r="P187" i="4"/>
  <c r="K187" i="4"/>
  <c r="L187" i="4" s="1"/>
  <c r="P186" i="4"/>
  <c r="Q186" i="4" s="1"/>
  <c r="K186" i="4"/>
  <c r="L186" i="4" s="1"/>
  <c r="K185" i="4"/>
  <c r="L185" i="4" s="1"/>
  <c r="P185" i="4"/>
  <c r="Q185" i="4" s="1"/>
  <c r="K184" i="4"/>
  <c r="L184" i="4" s="1"/>
  <c r="P184" i="4"/>
  <c r="Q184" i="4" s="1"/>
  <c r="K183" i="4"/>
  <c r="L183" i="4" s="1"/>
  <c r="P183" i="4"/>
  <c r="Q183" i="4" s="1"/>
  <c r="R183" i="4" s="1"/>
  <c r="P182" i="4"/>
  <c r="Q182" i="4" s="1"/>
  <c r="R182" i="4" s="1"/>
  <c r="K182" i="4"/>
  <c r="L182" i="4" s="1"/>
  <c r="K181" i="4"/>
  <c r="L181" i="4" s="1"/>
  <c r="P181" i="4"/>
  <c r="P180" i="4"/>
  <c r="Q180" i="4" s="1"/>
  <c r="R180" i="4" s="1"/>
  <c r="K180" i="4"/>
  <c r="L180" i="4" s="1"/>
  <c r="K179" i="4"/>
  <c r="L179" i="4" s="1"/>
  <c r="P179" i="4"/>
  <c r="Q179" i="4" s="1"/>
  <c r="R179" i="4" s="1"/>
  <c r="K150" i="4"/>
  <c r="L150" i="4" s="1"/>
  <c r="K145" i="4"/>
  <c r="L145" i="4" s="1"/>
  <c r="K144" i="4"/>
  <c r="L144" i="4" s="1"/>
  <c r="K143" i="4"/>
  <c r="L143" i="4" s="1"/>
  <c r="K99" i="4"/>
  <c r="L99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63" i="4"/>
  <c r="L163" i="4" s="1"/>
  <c r="K166" i="4"/>
  <c r="L166" i="4" s="1"/>
  <c r="K173" i="4"/>
  <c r="L173" i="4" s="1"/>
  <c r="K178" i="4"/>
  <c r="L178" i="4" s="1"/>
  <c r="P178" i="4"/>
  <c r="Q178" i="4" s="1"/>
  <c r="P177" i="4"/>
  <c r="Q177" i="4" s="1"/>
  <c r="K177" i="4"/>
  <c r="L177" i="4" s="1"/>
  <c r="P176" i="4"/>
  <c r="K176" i="4"/>
  <c r="L176" i="4" s="1"/>
  <c r="P175" i="4"/>
  <c r="Q175" i="4" s="1"/>
  <c r="K175" i="4"/>
  <c r="L175" i="4" s="1"/>
  <c r="P174" i="4"/>
  <c r="K174" i="4"/>
  <c r="L174" i="4" s="1"/>
  <c r="P173" i="4"/>
  <c r="Q173" i="4" s="1"/>
  <c r="P172" i="4"/>
  <c r="Q172" i="4" s="1"/>
  <c r="K172" i="4"/>
  <c r="L172" i="4" s="1"/>
  <c r="P171" i="4"/>
  <c r="K171" i="4"/>
  <c r="L171" i="4" s="1"/>
  <c r="P170" i="4"/>
  <c r="K170" i="4"/>
  <c r="L170" i="4" s="1"/>
  <c r="P169" i="4"/>
  <c r="K169" i="4"/>
  <c r="L169" i="4" s="1"/>
  <c r="K168" i="4"/>
  <c r="L168" i="4" s="1"/>
  <c r="P168" i="4"/>
  <c r="K167" i="4"/>
  <c r="L167" i="4" s="1"/>
  <c r="P167" i="4"/>
  <c r="Q167" i="4" s="1"/>
  <c r="R167" i="4" s="1"/>
  <c r="P166" i="4"/>
  <c r="P165" i="4"/>
  <c r="Q165" i="4" s="1"/>
  <c r="R165" i="4" s="1"/>
  <c r="K165" i="4"/>
  <c r="L165" i="4" s="1"/>
  <c r="K164" i="4"/>
  <c r="L164" i="4" s="1"/>
  <c r="P163" i="4"/>
  <c r="K162" i="4"/>
  <c r="L162" i="4" s="1"/>
  <c r="P162" i="4"/>
  <c r="Q162" i="4" s="1"/>
  <c r="P161" i="4"/>
  <c r="K161" i="4"/>
  <c r="L161" i="4" s="1"/>
  <c r="P160" i="4"/>
  <c r="Q160" i="4" s="1"/>
  <c r="K160" i="4"/>
  <c r="L160" i="4" s="1"/>
  <c r="P159" i="4"/>
  <c r="K70" i="4"/>
  <c r="L70" i="4" s="1"/>
  <c r="K159" i="4"/>
  <c r="L159" i="4" s="1"/>
  <c r="P158" i="4"/>
  <c r="Q158" i="4" s="1"/>
  <c r="K158" i="4"/>
  <c r="L158" i="4" s="1"/>
  <c r="Q145" i="4"/>
  <c r="R145" i="4" s="1"/>
  <c r="K140" i="4"/>
  <c r="L140" i="4" s="1"/>
  <c r="Q156" i="4"/>
  <c r="R156" i="4" s="1"/>
  <c r="Q155" i="4"/>
  <c r="R155" i="4" s="1"/>
  <c r="Q154" i="4"/>
  <c r="R154" i="4" s="1"/>
  <c r="Q153" i="4"/>
  <c r="R153" i="4" s="1"/>
  <c r="Q152" i="4"/>
  <c r="R152" i="4" s="1"/>
  <c r="Q151" i="4"/>
  <c r="R151" i="4" s="1"/>
  <c r="Q150" i="4"/>
  <c r="R150" i="4" s="1"/>
  <c r="Q157" i="4"/>
  <c r="R157" i="4" s="1"/>
  <c r="Q149" i="4"/>
  <c r="R149" i="4" s="1"/>
  <c r="K149" i="4"/>
  <c r="L149" i="4" s="1"/>
  <c r="P148" i="4"/>
  <c r="K148" i="4"/>
  <c r="L148" i="4" s="1"/>
  <c r="Q144" i="4"/>
  <c r="R144" i="4" s="1"/>
  <c r="Q143" i="4"/>
  <c r="R143" i="4" s="1"/>
  <c r="Q142" i="4"/>
  <c r="R142" i="4" s="1"/>
  <c r="K142" i="4"/>
  <c r="L142" i="4" s="1"/>
  <c r="K141" i="4"/>
  <c r="L141" i="4" s="1"/>
  <c r="P141" i="4"/>
  <c r="Q141" i="4" s="1"/>
  <c r="P140" i="4"/>
  <c r="Q138" i="4"/>
  <c r="R138" i="4" s="1"/>
  <c r="K138" i="4"/>
  <c r="L138" i="4" s="1"/>
  <c r="Q137" i="4"/>
  <c r="R137" i="4" s="1"/>
  <c r="K137" i="4"/>
  <c r="L137" i="4" s="1"/>
  <c r="P89" i="4"/>
  <c r="Q136" i="4"/>
  <c r="R136" i="4" s="1"/>
  <c r="Q135" i="4"/>
  <c r="R135" i="4" s="1"/>
  <c r="Q134" i="4"/>
  <c r="R134" i="4" s="1"/>
  <c r="Q133" i="4"/>
  <c r="R133" i="4" s="1"/>
  <c r="Q132" i="4"/>
  <c r="R132" i="4" s="1"/>
  <c r="Q131" i="4"/>
  <c r="R131" i="4" s="1"/>
  <c r="Q130" i="4"/>
  <c r="R130" i="4" s="1"/>
  <c r="Q129" i="4"/>
  <c r="R129" i="4" s="1"/>
  <c r="Q128" i="4"/>
  <c r="R128" i="4" s="1"/>
  <c r="Q127" i="4"/>
  <c r="R127" i="4" s="1"/>
  <c r="Q126" i="4"/>
  <c r="R126" i="4" s="1"/>
  <c r="Q125" i="4"/>
  <c r="R125" i="4" s="1"/>
  <c r="Q124" i="4"/>
  <c r="R124" i="4" s="1"/>
  <c r="P123" i="4"/>
  <c r="R122" i="4"/>
  <c r="Q121" i="4"/>
  <c r="R121" i="4" s="1"/>
  <c r="Q120" i="4"/>
  <c r="R120" i="4" s="1"/>
  <c r="P119" i="4"/>
  <c r="Q119" i="4" s="1"/>
  <c r="R119" i="4" s="1"/>
  <c r="Q118" i="4"/>
  <c r="R118" i="4" s="1"/>
  <c r="K136" i="4"/>
  <c r="L136" i="4" s="1"/>
  <c r="K130" i="4"/>
  <c r="L130" i="4" s="1"/>
  <c r="K129" i="4"/>
  <c r="L129" i="4" s="1"/>
  <c r="K128" i="4"/>
  <c r="L128" i="4" s="1"/>
  <c r="K127" i="4"/>
  <c r="L127" i="4" s="1"/>
  <c r="K126" i="4"/>
  <c r="L126" i="4" s="1"/>
  <c r="K125" i="4"/>
  <c r="L125" i="4" s="1"/>
  <c r="K124" i="4"/>
  <c r="L124" i="4" s="1"/>
  <c r="K123" i="4"/>
  <c r="L123" i="4" s="1"/>
  <c r="K122" i="4"/>
  <c r="L122" i="4" s="1"/>
  <c r="K121" i="4"/>
  <c r="L121" i="4" s="1"/>
  <c r="K120" i="4"/>
  <c r="L120" i="4" s="1"/>
  <c r="K119" i="4"/>
  <c r="L119" i="4" s="1"/>
  <c r="K118" i="4"/>
  <c r="L118" i="4" s="1"/>
  <c r="Q202" i="4" l="1"/>
  <c r="R202" i="4" s="1"/>
  <c r="R201" i="4"/>
  <c r="Q200" i="4"/>
  <c r="R200" i="4" s="1"/>
  <c r="Q199" i="4"/>
  <c r="R199" i="4" s="1"/>
  <c r="R197" i="4"/>
  <c r="R195" i="4"/>
  <c r="R194" i="4"/>
  <c r="R192" i="4"/>
  <c r="R191" i="4"/>
  <c r="Q190" i="4"/>
  <c r="R190" i="4" s="1"/>
  <c r="R189" i="4"/>
  <c r="Q188" i="4"/>
  <c r="R188" i="4" s="1"/>
  <c r="Q187" i="4"/>
  <c r="R187" i="4" s="1"/>
  <c r="R186" i="4"/>
  <c r="R185" i="4"/>
  <c r="R184" i="4"/>
  <c r="Q181" i="4"/>
  <c r="R181" i="4" s="1"/>
  <c r="R178" i="4"/>
  <c r="R177" i="4"/>
  <c r="Q176" i="4"/>
  <c r="R176" i="4" s="1"/>
  <c r="R175" i="4"/>
  <c r="Q174" i="4"/>
  <c r="R174" i="4" s="1"/>
  <c r="R173" i="4"/>
  <c r="R172" i="4"/>
  <c r="Q171" i="4"/>
  <c r="R171" i="4" s="1"/>
  <c r="Q170" i="4"/>
  <c r="R170" i="4" s="1"/>
  <c r="Q168" i="4"/>
  <c r="R168" i="4" s="1"/>
  <c r="Q169" i="4"/>
  <c r="R169" i="4" s="1"/>
  <c r="Q166" i="4"/>
  <c r="R166" i="4" s="1"/>
  <c r="R164" i="4"/>
  <c r="Q163" i="4"/>
  <c r="R163" i="4" s="1"/>
  <c r="Q161" i="4"/>
  <c r="R161" i="4" s="1"/>
  <c r="R162" i="4"/>
  <c r="Q159" i="4"/>
  <c r="R159" i="4" s="1"/>
  <c r="R160" i="4"/>
  <c r="R158" i="4"/>
  <c r="Q148" i="4"/>
  <c r="R148" i="4" s="1"/>
  <c r="R141" i="4"/>
  <c r="Q140" i="4"/>
  <c r="R140" i="4" s="1"/>
  <c r="Q89" i="4"/>
  <c r="R89" i="4" s="1"/>
  <c r="Q123" i="4"/>
  <c r="R123" i="4" s="1"/>
  <c r="P117" i="4" l="1"/>
  <c r="Q117" i="4" s="1"/>
  <c r="K117" i="4"/>
  <c r="L117" i="4" s="1"/>
  <c r="K116" i="4"/>
  <c r="L116" i="4" s="1"/>
  <c r="K4" i="4"/>
  <c r="L4" i="4" s="1"/>
  <c r="P116" i="4"/>
  <c r="Q116" i="4" s="1"/>
  <c r="Q115" i="4"/>
  <c r="R115" i="4" s="1"/>
  <c r="Q114" i="4"/>
  <c r="R114" i="4" s="1"/>
  <c r="Q113" i="4"/>
  <c r="R113" i="4" s="1"/>
  <c r="Q112" i="4"/>
  <c r="R112" i="4" s="1"/>
  <c r="Q111" i="4"/>
  <c r="R111" i="4" s="1"/>
  <c r="K111" i="4"/>
  <c r="L111" i="4" s="1"/>
  <c r="Q110" i="4"/>
  <c r="R110" i="4" s="1"/>
  <c r="K110" i="4"/>
  <c r="L110" i="4" s="1"/>
  <c r="Q108" i="4"/>
  <c r="R108" i="4" s="1"/>
  <c r="Q109" i="4"/>
  <c r="R109" i="4" s="1"/>
  <c r="K109" i="4"/>
  <c r="L109" i="4" s="1"/>
  <c r="P107" i="4"/>
  <c r="Q107" i="4" s="1"/>
  <c r="K108" i="4"/>
  <c r="L108" i="4" s="1"/>
  <c r="K107" i="4"/>
  <c r="L107" i="4" s="1"/>
  <c r="K106" i="4"/>
  <c r="L106" i="4" s="1"/>
  <c r="Q106" i="4"/>
  <c r="R106" i="4" s="1"/>
  <c r="K105" i="4"/>
  <c r="L105" i="4" s="1"/>
  <c r="P105" i="4"/>
  <c r="Q105" i="4" s="1"/>
  <c r="P104" i="4"/>
  <c r="P100" i="4"/>
  <c r="Q100" i="4" s="1"/>
  <c r="K104" i="4"/>
  <c r="L104" i="4" s="1"/>
  <c r="K102" i="4"/>
  <c r="L102" i="4" s="1"/>
  <c r="K101" i="4"/>
  <c r="L101" i="4" s="1"/>
  <c r="K103" i="4"/>
  <c r="L103" i="4" s="1"/>
  <c r="P99" i="4"/>
  <c r="P98" i="4"/>
  <c r="Q98" i="4" s="1"/>
  <c r="P97" i="4"/>
  <c r="Q97" i="4" s="1"/>
  <c r="R97" i="4" s="1"/>
  <c r="P96" i="4"/>
  <c r="Q96" i="4" s="1"/>
  <c r="P94" i="4"/>
  <c r="K98" i="4"/>
  <c r="L98" i="4" s="1"/>
  <c r="K97" i="4"/>
  <c r="L97" i="4" s="1"/>
  <c r="K96" i="4"/>
  <c r="L96" i="4" s="1"/>
  <c r="K94" i="4"/>
  <c r="L94" i="4" s="1"/>
  <c r="K93" i="4"/>
  <c r="L93" i="4" s="1"/>
  <c r="P95" i="4"/>
  <c r="K95" i="4"/>
  <c r="L95" i="4" s="1"/>
  <c r="K92" i="4"/>
  <c r="L92" i="4" s="1"/>
  <c r="K91" i="4"/>
  <c r="L91" i="4" s="1"/>
  <c r="K90" i="4"/>
  <c r="L90" i="4" s="1"/>
  <c r="P82" i="4"/>
  <c r="Q82" i="4" s="1"/>
  <c r="R82" i="4" s="1"/>
  <c r="P80" i="4"/>
  <c r="K80" i="4"/>
  <c r="L80" i="4" s="1"/>
  <c r="K82" i="4"/>
  <c r="L82" i="4" s="1"/>
  <c r="K100" i="4"/>
  <c r="L100" i="4" s="1"/>
  <c r="K68" i="4"/>
  <c r="L68" i="4" s="1"/>
  <c r="K39" i="4"/>
  <c r="L39" i="4" s="1"/>
  <c r="K36" i="4"/>
  <c r="L36" i="4" s="1"/>
  <c r="K26" i="4"/>
  <c r="L26" i="4" s="1"/>
  <c r="K25" i="4"/>
  <c r="L25" i="4" s="1"/>
  <c r="K81" i="4"/>
  <c r="L81" i="4" s="1"/>
  <c r="K8" i="4"/>
  <c r="L8" i="4" s="1"/>
  <c r="K7" i="4"/>
  <c r="L7" i="4" s="1"/>
  <c r="K74" i="4"/>
  <c r="L74" i="4" s="1"/>
  <c r="K35" i="4"/>
  <c r="L35" i="4" s="1"/>
  <c r="K83" i="4"/>
  <c r="L83" i="4" s="1"/>
  <c r="K78" i="4"/>
  <c r="L78" i="4" s="1"/>
  <c r="K76" i="4"/>
  <c r="L76" i="4" s="1"/>
  <c r="K64" i="4"/>
  <c r="L64" i="4" s="1"/>
  <c r="K58" i="4"/>
  <c r="L58" i="4" s="1"/>
  <c r="K56" i="4"/>
  <c r="L56" i="4" s="1"/>
  <c r="K86" i="4"/>
  <c r="L86" i="4" s="1"/>
  <c r="K65" i="4"/>
  <c r="L65" i="4" s="1"/>
  <c r="K49" i="4"/>
  <c r="L49" i="4" s="1"/>
  <c r="K48" i="4"/>
  <c r="L48" i="4" s="1"/>
  <c r="K47" i="4"/>
  <c r="L47" i="4" s="1"/>
  <c r="K22" i="4"/>
  <c r="L22" i="4" s="1"/>
  <c r="K67" i="4"/>
  <c r="L67" i="4" s="1"/>
  <c r="K66" i="4"/>
  <c r="L66" i="4" s="1"/>
  <c r="K34" i="4"/>
  <c r="L34" i="4" s="1"/>
  <c r="K21" i="4"/>
  <c r="L21" i="4" s="1"/>
  <c r="K20" i="4"/>
  <c r="L20" i="4" s="1"/>
  <c r="K19" i="4"/>
  <c r="L19" i="4" s="1"/>
  <c r="K18" i="4"/>
  <c r="L18" i="4" s="1"/>
  <c r="K6" i="4"/>
  <c r="L6" i="4" s="1"/>
  <c r="K71" i="4"/>
  <c r="L71" i="4" s="1"/>
  <c r="K63" i="4"/>
  <c r="L63" i="4" s="1"/>
  <c r="K62" i="4"/>
  <c r="L62" i="4" s="1"/>
  <c r="K61" i="4"/>
  <c r="L61" i="4" s="1"/>
  <c r="K38" i="4"/>
  <c r="L38" i="4" s="1"/>
  <c r="K37" i="4"/>
  <c r="L37" i="4" s="1"/>
  <c r="K32" i="4"/>
  <c r="L32" i="4" s="1"/>
  <c r="K24" i="4"/>
  <c r="L24" i="4" s="1"/>
  <c r="K23" i="4"/>
  <c r="L23" i="4" s="1"/>
  <c r="K85" i="4"/>
  <c r="L85" i="4" s="1"/>
  <c r="K84" i="4"/>
  <c r="L84" i="4" s="1"/>
  <c r="K75" i="4"/>
  <c r="L75" i="4" s="1"/>
  <c r="K73" i="4"/>
  <c r="L73" i="4" s="1"/>
  <c r="K60" i="4"/>
  <c r="L60" i="4" s="1"/>
  <c r="K59" i="4"/>
  <c r="L59" i="4" s="1"/>
  <c r="K57" i="4"/>
  <c r="L57" i="4" s="1"/>
  <c r="K55" i="4"/>
  <c r="L55" i="4" s="1"/>
  <c r="K53" i="4"/>
  <c r="L53" i="4" s="1"/>
  <c r="K51" i="4"/>
  <c r="L51" i="4" s="1"/>
  <c r="K50" i="4"/>
  <c r="L50" i="4" s="1"/>
  <c r="K43" i="4"/>
  <c r="L43" i="4" s="1"/>
  <c r="K42" i="4"/>
  <c r="L42" i="4" s="1"/>
  <c r="K33" i="4"/>
  <c r="L33" i="4" s="1"/>
  <c r="K27" i="4"/>
  <c r="L27" i="4" s="1"/>
  <c r="K12" i="4"/>
  <c r="L12" i="4" s="1"/>
  <c r="K11" i="4"/>
  <c r="L11" i="4" s="1"/>
  <c r="K3" i="4"/>
  <c r="L3" i="4" s="1"/>
  <c r="K89" i="4"/>
  <c r="L89" i="4" s="1"/>
  <c r="K88" i="4"/>
  <c r="L88" i="4" s="1"/>
  <c r="K87" i="4"/>
  <c r="L87" i="4" s="1"/>
  <c r="K79" i="4"/>
  <c r="L79" i="4" s="1"/>
  <c r="K77" i="4"/>
  <c r="L77" i="4" s="1"/>
  <c r="K72" i="4"/>
  <c r="L72" i="4" s="1"/>
  <c r="K69" i="4"/>
  <c r="L69" i="4" s="1"/>
  <c r="K54" i="4"/>
  <c r="L54" i="4" s="1"/>
  <c r="K52" i="4"/>
  <c r="L52" i="4" s="1"/>
  <c r="K46" i="4"/>
  <c r="L46" i="4" s="1"/>
  <c r="K45" i="4"/>
  <c r="L45" i="4" s="1"/>
  <c r="K44" i="4"/>
  <c r="L44" i="4" s="1"/>
  <c r="K41" i="4"/>
  <c r="L41" i="4" s="1"/>
  <c r="K40" i="4"/>
  <c r="L40" i="4" s="1"/>
  <c r="K31" i="4"/>
  <c r="L31" i="4" s="1"/>
  <c r="K30" i="4"/>
  <c r="L30" i="4" s="1"/>
  <c r="K29" i="4"/>
  <c r="L29" i="4" s="1"/>
  <c r="K28" i="4"/>
  <c r="L28" i="4" s="1"/>
  <c r="K17" i="4"/>
  <c r="L17" i="4" s="1"/>
  <c r="K16" i="4"/>
  <c r="L16" i="4" s="1"/>
  <c r="K15" i="4"/>
  <c r="L15" i="4" s="1"/>
  <c r="K14" i="4"/>
  <c r="L14" i="4" s="1"/>
  <c r="K13" i="4"/>
  <c r="L13" i="4" s="1"/>
  <c r="K10" i="4"/>
  <c r="L10" i="4" s="1"/>
  <c r="K9" i="4"/>
  <c r="L9" i="4" s="1"/>
  <c r="K5" i="4"/>
  <c r="L5" i="4" s="1"/>
  <c r="R117" i="4" l="1"/>
  <c r="R116" i="4"/>
  <c r="R107" i="4"/>
  <c r="R105" i="4"/>
  <c r="K315" i="4"/>
  <c r="Q104" i="4"/>
  <c r="R104" i="4" s="1"/>
  <c r="L315" i="4"/>
  <c r="Q80" i="4"/>
  <c r="R80" i="4" s="1"/>
  <c r="Q99" i="4"/>
  <c r="R99" i="4" s="1"/>
  <c r="R98" i="4"/>
  <c r="R96" i="4"/>
  <c r="Q94" i="4"/>
  <c r="R94" i="4" s="1"/>
  <c r="Q95" i="4"/>
  <c r="R95" i="4" s="1"/>
  <c r="R100" i="4"/>
  <c r="P83" i="4" l="1"/>
  <c r="P92" i="4"/>
  <c r="P91" i="4"/>
  <c r="Q91" i="4" s="1"/>
  <c r="P90" i="4"/>
  <c r="Q90" i="4" s="1"/>
  <c r="P78" i="4"/>
  <c r="P39" i="4"/>
  <c r="P36" i="4"/>
  <c r="P25" i="4"/>
  <c r="Q25" i="4" s="1"/>
  <c r="P93" i="4"/>
  <c r="Q93" i="4" s="1"/>
  <c r="P88" i="4"/>
  <c r="P87" i="4"/>
  <c r="Q87" i="4" s="1"/>
  <c r="P85" i="4"/>
  <c r="Q85" i="4" s="1"/>
  <c r="P79" i="4"/>
  <c r="P77" i="4"/>
  <c r="P75" i="4"/>
  <c r="Q75" i="4" s="1"/>
  <c r="P72" i="4"/>
  <c r="P60" i="4"/>
  <c r="Q60" i="4" s="1"/>
  <c r="R60" i="4" s="1"/>
  <c r="P59" i="4"/>
  <c r="Q59" i="4" s="1"/>
  <c r="R59" i="4" s="1"/>
  <c r="P30" i="4"/>
  <c r="AD95" i="4"/>
  <c r="AD96" i="4" s="1"/>
  <c r="AC96" i="4"/>
  <c r="AC97" i="4" s="1"/>
  <c r="AE95" i="4"/>
  <c r="AE96" i="4" s="1"/>
  <c r="P51" i="4"/>
  <c r="P50" i="4"/>
  <c r="Q50" i="4" s="1"/>
  <c r="P49" i="4"/>
  <c r="Q49" i="4" s="1"/>
  <c r="P48" i="4"/>
  <c r="Q48" i="4" s="1"/>
  <c r="P47" i="4"/>
  <c r="Q47" i="4" s="1"/>
  <c r="P86" i="4"/>
  <c r="Q86" i="4" s="1"/>
  <c r="P76" i="4"/>
  <c r="Q76" i="4" s="1"/>
  <c r="P65" i="4"/>
  <c r="Q65" i="4" s="1"/>
  <c r="P64" i="4"/>
  <c r="Q64" i="4" s="1"/>
  <c r="P63" i="4"/>
  <c r="Q63" i="4" s="1"/>
  <c r="P62" i="4"/>
  <c r="Q62" i="4" s="1"/>
  <c r="P61" i="4"/>
  <c r="P38" i="4"/>
  <c r="P37" i="4"/>
  <c r="P35" i="4"/>
  <c r="Q35" i="4" s="1"/>
  <c r="P34" i="4"/>
  <c r="Q34" i="4" s="1"/>
  <c r="P32" i="4"/>
  <c r="P26" i="4"/>
  <c r="Q26" i="4" s="1"/>
  <c r="R26" i="4" s="1"/>
  <c r="P24" i="4"/>
  <c r="Q24" i="4" s="1"/>
  <c r="P23" i="4"/>
  <c r="Q23" i="4" s="1"/>
  <c r="P22" i="4"/>
  <c r="Q22" i="4" s="1"/>
  <c r="P21" i="4"/>
  <c r="P20" i="4"/>
  <c r="P19" i="4"/>
  <c r="Q19" i="4" s="1"/>
  <c r="P18" i="4"/>
  <c r="Q18" i="4" s="1"/>
  <c r="P40" i="4"/>
  <c r="Q40" i="4" s="1"/>
  <c r="P33" i="4"/>
  <c r="P31" i="4"/>
  <c r="Q31" i="4" s="1"/>
  <c r="P29" i="4"/>
  <c r="Q29" i="4" s="1"/>
  <c r="P28" i="4"/>
  <c r="Q28" i="4" s="1"/>
  <c r="P27" i="4"/>
  <c r="P17" i="4"/>
  <c r="P16" i="4"/>
  <c r="P15" i="4"/>
  <c r="P14" i="4"/>
  <c r="P13" i="4"/>
  <c r="P12" i="4"/>
  <c r="P81" i="4"/>
  <c r="Q81" i="4" s="1"/>
  <c r="P74" i="4"/>
  <c r="Q74" i="4" s="1"/>
  <c r="P71" i="4"/>
  <c r="P68" i="4"/>
  <c r="Q68" i="4" s="1"/>
  <c r="P67" i="4"/>
  <c r="Q67" i="4" s="1"/>
  <c r="P66" i="4"/>
  <c r="Q66" i="4" s="1"/>
  <c r="P58" i="4"/>
  <c r="P56" i="4"/>
  <c r="Q56" i="4" s="1"/>
  <c r="P84" i="4"/>
  <c r="P73" i="4"/>
  <c r="P70" i="4"/>
  <c r="P69" i="4"/>
  <c r="P57" i="4"/>
  <c r="P55" i="4"/>
  <c r="P54" i="4"/>
  <c r="P53" i="4"/>
  <c r="P52" i="4"/>
  <c r="P46" i="4"/>
  <c r="P45" i="4"/>
  <c r="P44" i="4"/>
  <c r="P43" i="4"/>
  <c r="Q43" i="4" s="1"/>
  <c r="P42" i="4"/>
  <c r="P41" i="4"/>
  <c r="Q41" i="4" s="1"/>
  <c r="R41" i="4" s="1"/>
  <c r="Q38" i="4" l="1"/>
  <c r="R38" i="4" s="1"/>
  <c r="Q78" i="4"/>
  <c r="R78" i="4" s="1"/>
  <c r="Q83" i="4"/>
  <c r="R83" i="4" s="1"/>
  <c r="Q92" i="4"/>
  <c r="R92" i="4" s="1"/>
  <c r="R91" i="4"/>
  <c r="R90" i="4"/>
  <c r="Q39" i="4"/>
  <c r="R39" i="4" s="1"/>
  <c r="Q36" i="4"/>
  <c r="R36" i="4" s="1"/>
  <c r="R25" i="4"/>
  <c r="R93" i="4"/>
  <c r="Q88" i="4"/>
  <c r="R88" i="4" s="1"/>
  <c r="R87" i="4"/>
  <c r="R85" i="4"/>
  <c r="Q79" i="4"/>
  <c r="R79" i="4" s="1"/>
  <c r="Q77" i="4"/>
  <c r="R77" i="4" s="1"/>
  <c r="R75" i="4"/>
  <c r="Q72" i="4"/>
  <c r="R72" i="4" s="1"/>
  <c r="Q30" i="4"/>
  <c r="R30" i="4" s="1"/>
  <c r="AC98" i="4"/>
  <c r="Q51" i="4"/>
  <c r="R51" i="4" s="1"/>
  <c r="R50" i="4"/>
  <c r="R49" i="4"/>
  <c r="R48" i="4"/>
  <c r="R47" i="4"/>
  <c r="Q61" i="4"/>
  <c r="R61" i="4" s="1"/>
  <c r="R86" i="4"/>
  <c r="R76" i="4"/>
  <c r="R65" i="4"/>
  <c r="R64" i="4"/>
  <c r="R63" i="4"/>
  <c r="R62" i="4"/>
  <c r="Q12" i="4"/>
  <c r="Q37" i="4"/>
  <c r="R37" i="4" s="1"/>
  <c r="R35" i="4"/>
  <c r="R34" i="4"/>
  <c r="Q32" i="4"/>
  <c r="R32" i="4" s="1"/>
  <c r="R24" i="4"/>
  <c r="R23" i="4"/>
  <c r="R22" i="4"/>
  <c r="Q21" i="4"/>
  <c r="R21" i="4" s="1"/>
  <c r="Q20" i="4"/>
  <c r="R20" i="4" s="1"/>
  <c r="R19" i="4"/>
  <c r="R18" i="4"/>
  <c r="R40" i="4"/>
  <c r="Q33" i="4"/>
  <c r="R33" i="4" s="1"/>
  <c r="R31" i="4"/>
  <c r="R29" i="4"/>
  <c r="R28" i="4"/>
  <c r="Q27" i="4"/>
  <c r="R27" i="4" s="1"/>
  <c r="Q17" i="4"/>
  <c r="R17" i="4" s="1"/>
  <c r="Q16" i="4"/>
  <c r="R16" i="4" s="1"/>
  <c r="Q15" i="4"/>
  <c r="R15" i="4" s="1"/>
  <c r="Q14" i="4"/>
  <c r="R14" i="4" s="1"/>
  <c r="Q13" i="4"/>
  <c r="R13" i="4" s="1"/>
  <c r="R81" i="4"/>
  <c r="R74" i="4"/>
  <c r="Q71" i="4"/>
  <c r="R71" i="4" s="1"/>
  <c r="R68" i="4"/>
  <c r="R67" i="4"/>
  <c r="R66" i="4"/>
  <c r="Q58" i="4"/>
  <c r="R58" i="4" s="1"/>
  <c r="R56" i="4"/>
  <c r="Q84" i="4"/>
  <c r="R84" i="4" s="1"/>
  <c r="Q73" i="4"/>
  <c r="R73" i="4" s="1"/>
  <c r="Q70" i="4"/>
  <c r="R70" i="4" s="1"/>
  <c r="Q69" i="4"/>
  <c r="R69" i="4" s="1"/>
  <c r="Q57" i="4"/>
  <c r="R57" i="4" s="1"/>
  <c r="Q55" i="4"/>
  <c r="R55" i="4" s="1"/>
  <c r="Q54" i="4"/>
  <c r="R54" i="4" s="1"/>
  <c r="Q53" i="4"/>
  <c r="R53" i="4" s="1"/>
  <c r="Q52" i="4"/>
  <c r="R52" i="4" s="1"/>
  <c r="Q46" i="4"/>
  <c r="R46" i="4" s="1"/>
  <c r="Q45" i="4"/>
  <c r="R45" i="4" s="1"/>
  <c r="Q44" i="4"/>
  <c r="R44" i="4" s="1"/>
  <c r="R43" i="4"/>
  <c r="Q42" i="4"/>
  <c r="R42" i="4" s="1"/>
  <c r="R12" i="4" l="1"/>
  <c r="P303" i="4"/>
  <c r="P315" i="4" s="1"/>
  <c r="Q303" i="4" l="1"/>
  <c r="Q315" i="4" s="1"/>
  <c r="R303" i="4" l="1"/>
  <c r="R315" i="4" s="1"/>
</calcChain>
</file>

<file path=xl/sharedStrings.xml><?xml version="1.0" encoding="utf-8"?>
<sst xmlns="http://schemas.openxmlformats.org/spreadsheetml/2006/main" count="2998" uniqueCount="374">
  <si>
    <t>Sr No</t>
  </si>
  <si>
    <t>Sold To</t>
  </si>
  <si>
    <t xml:space="preserve">Amount </t>
  </si>
  <si>
    <t>Size</t>
  </si>
  <si>
    <t>UK 4</t>
  </si>
  <si>
    <t>Bhupendra</t>
  </si>
  <si>
    <t>Paid</t>
  </si>
  <si>
    <t>Yes</t>
  </si>
  <si>
    <t>Raj B</t>
  </si>
  <si>
    <t>UK 6</t>
  </si>
  <si>
    <t>No</t>
  </si>
  <si>
    <t>Pravin R</t>
  </si>
  <si>
    <t>UK 12</t>
  </si>
  <si>
    <t>Yatish M</t>
  </si>
  <si>
    <t>Abhilash C</t>
  </si>
  <si>
    <t>Sponsored</t>
  </si>
  <si>
    <t>UK 10</t>
  </si>
  <si>
    <t>Fahmaan</t>
  </si>
  <si>
    <t>UK 11</t>
  </si>
  <si>
    <t>Pankaj</t>
  </si>
  <si>
    <t>UK 9</t>
  </si>
  <si>
    <t>Amit S</t>
  </si>
  <si>
    <t>Rahul D</t>
  </si>
  <si>
    <t xml:space="preserve">Dharmik </t>
  </si>
  <si>
    <t>Harshit</t>
  </si>
  <si>
    <t>Devendra Naik</t>
  </si>
  <si>
    <t>Pravin</t>
  </si>
  <si>
    <t>SALES REGISTER</t>
  </si>
  <si>
    <t>D9 Model</t>
  </si>
  <si>
    <t>Performer 2</t>
  </si>
  <si>
    <t xml:space="preserve">Rubber Studs Shoes </t>
  </si>
  <si>
    <t>Blaster 1</t>
  </si>
  <si>
    <t>Blaster 2</t>
  </si>
  <si>
    <t>Warrior 2</t>
  </si>
  <si>
    <t>Commander 1</t>
  </si>
  <si>
    <t>Bolt</t>
  </si>
  <si>
    <t>Bowling Spikes Shoes</t>
  </si>
  <si>
    <t>Anuj D</t>
  </si>
  <si>
    <t xml:space="preserve">Harpreet Singh </t>
  </si>
  <si>
    <t>Force 2</t>
  </si>
  <si>
    <t>Nikhil Jain</t>
  </si>
  <si>
    <t>UK 8</t>
  </si>
  <si>
    <t>UK 7</t>
  </si>
  <si>
    <t>Nemish Mehta</t>
  </si>
  <si>
    <t>Vikram Thorvi</t>
  </si>
  <si>
    <t>UK 5</t>
  </si>
  <si>
    <t>Asif</t>
  </si>
  <si>
    <t>Sunil Nair</t>
  </si>
  <si>
    <t>Nemish Kamble</t>
  </si>
  <si>
    <t>Performer 1</t>
  </si>
  <si>
    <t>Rakesh M</t>
  </si>
  <si>
    <t>Chirag Edwankar</t>
  </si>
  <si>
    <t>Warrior 1</t>
  </si>
  <si>
    <t>Amit Rathod</t>
  </si>
  <si>
    <t>Riya Enterprises</t>
  </si>
  <si>
    <t>Jigar Nagda</t>
  </si>
  <si>
    <t>Subodh</t>
  </si>
  <si>
    <t>Sudhir Rout</t>
  </si>
  <si>
    <t>Abhishek Patil</t>
  </si>
  <si>
    <t>Sumit Poojary</t>
  </si>
  <si>
    <t>Invoicing Done</t>
  </si>
  <si>
    <t>Amey Gaikwad</t>
  </si>
  <si>
    <t>Ved Betkar</t>
  </si>
  <si>
    <t>Elisa D'Souza</t>
  </si>
  <si>
    <t>Flavia Fernandes</t>
  </si>
  <si>
    <t>Mathias Fernandes</t>
  </si>
  <si>
    <t>Edwin Fernandes</t>
  </si>
  <si>
    <t>Adrian Fernandes</t>
  </si>
  <si>
    <t>Harshit Mestry</t>
  </si>
  <si>
    <t>Hsrish S Kothare</t>
  </si>
  <si>
    <t xml:space="preserve">Badminton Shoes </t>
  </si>
  <si>
    <t>Cult</t>
  </si>
  <si>
    <t>Mohd Firoz</t>
  </si>
  <si>
    <t>Billing Name</t>
  </si>
  <si>
    <t>AMS/25-26/217 Dated 21/11/2025</t>
  </si>
  <si>
    <t>AMS/25-26/223 Dated 01/12/2025</t>
  </si>
  <si>
    <t>Online 30/11/2025</t>
  </si>
  <si>
    <t>Payment Status</t>
  </si>
  <si>
    <t>By Cash Deposit 27/11/2025</t>
  </si>
  <si>
    <t>No Payment</t>
  </si>
  <si>
    <t>Billing Amount</t>
  </si>
  <si>
    <t>Classic 1</t>
  </si>
  <si>
    <t>Classic 2</t>
  </si>
  <si>
    <t>Rohit Kharb</t>
  </si>
  <si>
    <t>Jimit Shukla</t>
  </si>
  <si>
    <t>Ajay Rajput</t>
  </si>
  <si>
    <t xml:space="preserve">Spider Sports </t>
  </si>
  <si>
    <t>Mahesh Kothare</t>
  </si>
  <si>
    <t>Vijay Shah</t>
  </si>
  <si>
    <t>Pravin Cash</t>
  </si>
  <si>
    <t>Kings 2</t>
  </si>
  <si>
    <t>Shoe Type</t>
  </si>
  <si>
    <t xml:space="preserve">Sankalp </t>
  </si>
  <si>
    <t>Batting Spike Shoes</t>
  </si>
  <si>
    <t>Thunder 1</t>
  </si>
  <si>
    <t>Shoe Bag</t>
  </si>
  <si>
    <t xml:space="preserve">Running Shoes </t>
  </si>
  <si>
    <t>Speed R04</t>
  </si>
  <si>
    <t>Sharad</t>
  </si>
  <si>
    <t>Siddharth Sharma</t>
  </si>
  <si>
    <t>Sachin Mahadeshw</t>
  </si>
  <si>
    <t>Sudhir Rout / Pankaj</t>
  </si>
  <si>
    <t>Sudhir Rout / Pavan</t>
  </si>
  <si>
    <t>AMS/25-26/243 Dated 22/12/2025</t>
  </si>
  <si>
    <t>Lot</t>
  </si>
  <si>
    <t>Buyer Name</t>
  </si>
  <si>
    <t>Total Billing Amount</t>
  </si>
  <si>
    <t>1st</t>
  </si>
  <si>
    <t>AMS/25-26/244 Dated 22/12/2025</t>
  </si>
  <si>
    <t>AMS/25-26/245 Dated 22/12/2025</t>
  </si>
  <si>
    <t>Online 20/12/2025</t>
  </si>
  <si>
    <t>Lumpsum Adv Received - 15,000 INR Dated 17/12/2025</t>
  </si>
  <si>
    <t>Champion 1</t>
  </si>
  <si>
    <t>Deepak Singh</t>
  </si>
  <si>
    <t>Raj Bangera</t>
  </si>
  <si>
    <t>Vishal Patidar</t>
  </si>
  <si>
    <t>2nd</t>
  </si>
  <si>
    <t xml:space="preserve">2nd </t>
  </si>
  <si>
    <t>GST%</t>
  </si>
  <si>
    <t>Sudhir K Rout</t>
  </si>
  <si>
    <t>MRP [Including GST]</t>
  </si>
  <si>
    <t>Discount Received</t>
  </si>
  <si>
    <t>Cost Price</t>
  </si>
  <si>
    <t>GST Amount</t>
  </si>
  <si>
    <t>Total Cost Price</t>
  </si>
  <si>
    <t>Sale Price</t>
  </si>
  <si>
    <t>Sudhir</t>
  </si>
  <si>
    <t>Subodh Parab</t>
  </si>
  <si>
    <t>Hunter</t>
  </si>
  <si>
    <t>Kalpesh Koli</t>
  </si>
  <si>
    <t>Aniket Shetye</t>
  </si>
  <si>
    <t>Tejas Kadakia</t>
  </si>
  <si>
    <t>TPU Spikes 8 Pces Set</t>
  </si>
  <si>
    <t>Special Key</t>
  </si>
  <si>
    <t>Ankle Socks Orange</t>
  </si>
  <si>
    <t>Z-Bats Clinic</t>
  </si>
  <si>
    <t>Online 30/12/2025</t>
  </si>
  <si>
    <t>Qty</t>
  </si>
  <si>
    <t>Free Size</t>
  </si>
  <si>
    <t>To be Billed</t>
  </si>
  <si>
    <t>Deepak Sports</t>
  </si>
  <si>
    <t>Ankit Bawne</t>
  </si>
  <si>
    <t>Ninad Kadam</t>
  </si>
  <si>
    <t>Edward</t>
  </si>
  <si>
    <t>Hemang Vyas</t>
  </si>
  <si>
    <t>Jaideep Jadhav</t>
  </si>
  <si>
    <t>Ranjan</t>
  </si>
  <si>
    <t>Without Shoe Bag &amp; Cap</t>
  </si>
  <si>
    <t>AMS/25-26/251 Dated 01/01/2026</t>
  </si>
  <si>
    <t>Online 24/12/2025</t>
  </si>
  <si>
    <t>AMS/25-26/249 Dated 01/01/2026</t>
  </si>
  <si>
    <t>Online 22/12/2025</t>
  </si>
  <si>
    <t>Shah Sports Tech Pvt Ltd</t>
  </si>
  <si>
    <t>AMS/25-26/250 Dated 01/01/2026</t>
  </si>
  <si>
    <t>AMS/25-26/252 Dated 01/01/2026</t>
  </si>
  <si>
    <t>Online 08/01/2026</t>
  </si>
  <si>
    <t>Online 07/01/2026</t>
  </si>
  <si>
    <t>Sonal Mamlekar</t>
  </si>
  <si>
    <t>Online 10/01/2026</t>
  </si>
  <si>
    <t>Pandurang</t>
  </si>
  <si>
    <t>Smita Baria</t>
  </si>
  <si>
    <t>Atul Telang</t>
  </si>
  <si>
    <t>Abhishek Atul Telang</t>
  </si>
  <si>
    <t>Champion 2</t>
  </si>
  <si>
    <t>Kavita Lad</t>
  </si>
  <si>
    <t>Speed R06</t>
  </si>
  <si>
    <t>Edward Philip</t>
  </si>
  <si>
    <t>869650283270,  301317480236,  187616699054 On 14.01.2026</t>
  </si>
  <si>
    <t>Abhijeet</t>
  </si>
  <si>
    <t>Abhijeet Salgaonkar</t>
  </si>
  <si>
    <t>MCA Cric Kit Fair</t>
  </si>
  <si>
    <t>Cash</t>
  </si>
  <si>
    <t>Online On 18.01.26</t>
  </si>
  <si>
    <t>2 Socks Free Given</t>
  </si>
  <si>
    <t>Without Cap &amp; Shoe Bag</t>
  </si>
  <si>
    <t>3rd</t>
  </si>
  <si>
    <t xml:space="preserve">Ankle Socks </t>
  </si>
  <si>
    <t>Online On 17.01.26</t>
  </si>
  <si>
    <t>Iron Nails Spikes</t>
  </si>
  <si>
    <t>D9 Baseball Cap</t>
  </si>
  <si>
    <t>Aarav Roy</t>
  </si>
  <si>
    <t>Reena S Thakur</t>
  </si>
  <si>
    <t>Jackson</t>
  </si>
  <si>
    <t>Paid By Yatish M</t>
  </si>
  <si>
    <t>Sankalp Pednekar</t>
  </si>
  <si>
    <t>Michael Norohna</t>
  </si>
  <si>
    <t>D9 Premium Shoe Bag</t>
  </si>
  <si>
    <t>Rupesh Jadhav</t>
  </si>
  <si>
    <t>0000602472977251 On 24.02.2026</t>
  </si>
  <si>
    <t>0000602346584734 On 24.01.2026</t>
  </si>
  <si>
    <t>0000639074720280 On 24.01.2026</t>
  </si>
  <si>
    <t>Txn ID '601742223269 On 17.01.2026</t>
  </si>
  <si>
    <t>Txn ID 601765023162 On 17.01.2026</t>
  </si>
  <si>
    <t>Txn ID 601712429091 On 17.01.2026</t>
  </si>
  <si>
    <t>0000602246590000 On 22.01.2026</t>
  </si>
  <si>
    <t>0000638629005716 &amp; 0000602059293693 On 20.01.2026</t>
  </si>
  <si>
    <t>0000832293001599 On 19.01.2026</t>
  </si>
  <si>
    <t>697360921553 On 13.01 &amp; 395571958016 On 16.01,  0000697658632424 On 18.01</t>
  </si>
  <si>
    <t>Txn ID 601538604864 On 15.01.2026</t>
  </si>
  <si>
    <t>Txn ID: 395719474433 On 18.01.26</t>
  </si>
  <si>
    <t>Sanket Subhash</t>
  </si>
  <si>
    <t>Hiren Nirmal</t>
  </si>
  <si>
    <t>Txn ID: 638417576626 On 18.01.26</t>
  </si>
  <si>
    <t>Arif Naseer Shaikh</t>
  </si>
  <si>
    <t>Txn ID: 601867651298 On 18.01.26</t>
  </si>
  <si>
    <t>Karan Kumar</t>
  </si>
  <si>
    <t>Txn ID: 514762693603 On 18.01.26</t>
  </si>
  <si>
    <t>Atharv S Sonavale</t>
  </si>
  <si>
    <t>Txn ID: 638470927281 On 18.01.26</t>
  </si>
  <si>
    <t>Shivdikar Vaibhav</t>
  </si>
  <si>
    <t>Txn ID: 601863006248 On 18.01.26</t>
  </si>
  <si>
    <t>Tanvi Naresh Gaikwad</t>
  </si>
  <si>
    <t>Txn ID: 117370634547 On 18.01.26</t>
  </si>
  <si>
    <t>Manish Patel</t>
  </si>
  <si>
    <t>Txn ID: 395708991007 On 18.01.26</t>
  </si>
  <si>
    <t>Prem Pradip Mehta</t>
  </si>
  <si>
    <t>Txn ID: 638439753295 On 18.01.26</t>
  </si>
  <si>
    <t>Sikandar Prajapati</t>
  </si>
  <si>
    <t>Txn ID: 117369222752 On 18.01.26</t>
  </si>
  <si>
    <t>Viswakarma Shashank</t>
  </si>
  <si>
    <t>Txn ID: 772446999047 On 18.01.26</t>
  </si>
  <si>
    <t>Prathamesh Hegde</t>
  </si>
  <si>
    <t>Txn ID: 638445267478 On 18.01.26</t>
  </si>
  <si>
    <t>Salil Dilip</t>
  </si>
  <si>
    <t>Txn ID: 638415871778 On 18.01.26</t>
  </si>
  <si>
    <t>Jyoti Pandurang Jadhav</t>
  </si>
  <si>
    <t>Txn ID: 045851839285 On 18.01.26</t>
  </si>
  <si>
    <t>Mandar Madhukar</t>
  </si>
  <si>
    <t>Txn ID: 135605169167 On 18.01.26</t>
  </si>
  <si>
    <t>Ashish Thirathnath</t>
  </si>
  <si>
    <t>Txn ID: 939835187775 On 18.01.26 ( 1 Pair Of Socks Extra Included)</t>
  </si>
  <si>
    <t>Lokhande Omkar Subh</t>
  </si>
  <si>
    <t>Txn ID: 601835534955 On 18.01.26</t>
  </si>
  <si>
    <t>Arya</t>
  </si>
  <si>
    <t>Vishal Patil</t>
  </si>
  <si>
    <t>Pearl Rodrigues</t>
  </si>
  <si>
    <t>Pearil Rodrigues</t>
  </si>
  <si>
    <t>Jiyansh Gandhi</t>
  </si>
  <si>
    <t>Cash Received</t>
  </si>
  <si>
    <t>Kushi Karmokar</t>
  </si>
  <si>
    <t>Amit Jha</t>
  </si>
  <si>
    <t>Txn ID: 639310478300  On 27.01.2026</t>
  </si>
  <si>
    <t>Txn ID 602780415476 On 27.01.2026</t>
  </si>
  <si>
    <t>Online On 11.01.26  (2000 + 1150)</t>
  </si>
  <si>
    <t>AMS/25-26/266 Dated 19/01/2026</t>
  </si>
  <si>
    <t>Online 19/01/2026</t>
  </si>
  <si>
    <t>Online 16/01/2026</t>
  </si>
  <si>
    <t>AMS/25-26/282 Dated 29/01/2026</t>
  </si>
  <si>
    <t>AMS/25-26/283 Dated 29/01/2026</t>
  </si>
  <si>
    <t>AMS/25-26/284 Dated 29/01/2026</t>
  </si>
  <si>
    <t>AMS/25-26/285 Dated 29/01/2026</t>
  </si>
  <si>
    <t>Badal Shiekh</t>
  </si>
  <si>
    <t>Santosh Pal</t>
  </si>
  <si>
    <t>Txn ID: 639557026084  On 29.01.2026</t>
  </si>
  <si>
    <t xml:space="preserve">Karan  </t>
  </si>
  <si>
    <t>Karan</t>
  </si>
  <si>
    <t>Cash Purchase</t>
  </si>
  <si>
    <t>Wagh</t>
  </si>
  <si>
    <t>Speed R03</t>
  </si>
  <si>
    <t>To Be billed 1</t>
  </si>
  <si>
    <t>Sponsor</t>
  </si>
  <si>
    <t>0000602344097086 &amp; 0000638926710338 On 23.01.2026 / Anuradhra Singh</t>
  </si>
  <si>
    <t>Raj Bangera (Personal Use)</t>
  </si>
  <si>
    <t>Pravin R (personal Use)</t>
  </si>
  <si>
    <t>AMS/25-26/289 Dated 02/02/2026</t>
  </si>
  <si>
    <t>AMS/25-26/290 Dated 02/02/2026</t>
  </si>
  <si>
    <t>AMS/25-26/291 Dated 02/02/2026</t>
  </si>
  <si>
    <t>697073692561 &amp; 697073675208 / 09.01.2026 / Hemang Vyas</t>
  </si>
  <si>
    <t>637708742076 / 11.01.2026 / Sonal Mamlekar</t>
  </si>
  <si>
    <t>AMS/25-26/294 Dated 03/02/2026</t>
  </si>
  <si>
    <t>Akshay Saini</t>
  </si>
  <si>
    <t>Imran Haq</t>
  </si>
  <si>
    <t>Paid On 2nd Feb '26</t>
  </si>
  <si>
    <t>Rakesh J Suvarna</t>
  </si>
  <si>
    <t>639893678580 On 01.02.2026</t>
  </si>
  <si>
    <t>815745826877 On 29.01.2026</t>
  </si>
  <si>
    <t>Sheetal Mamlekar</t>
  </si>
  <si>
    <t>Damayanti Mamlekar</t>
  </si>
  <si>
    <t>Casual Shoes</t>
  </si>
  <si>
    <t>D9 Fashion R01</t>
  </si>
  <si>
    <t>Appa Patil</t>
  </si>
  <si>
    <t>Batting Spikes Shoes</t>
  </si>
  <si>
    <t>Aman Asuri</t>
  </si>
  <si>
    <t>Ambitious Bridge Consul</t>
  </si>
  <si>
    <t>Online On 06.02.26</t>
  </si>
  <si>
    <t>Hunter 1</t>
  </si>
  <si>
    <t>UPI @ MCA CRIC KIT FAIR</t>
  </si>
  <si>
    <t>AMS/25-26/305 Dated 10/02/2026</t>
  </si>
  <si>
    <t>OMKAR SOMESHWAR KOKANE</t>
  </si>
  <si>
    <t>Txn ID: 109009891966 On 18.01.26</t>
  </si>
  <si>
    <t>AMS/25-26/306 Dated 10/02/2026</t>
  </si>
  <si>
    <t>4000 Received, pending 1206.51 INR</t>
  </si>
  <si>
    <t>Remark</t>
  </si>
  <si>
    <t>AMS/25-26/307 Dated 10/02/2026</t>
  </si>
  <si>
    <t>AMS/25-26/308 Dated 10/02/2026</t>
  </si>
  <si>
    <t>AMS/25-26/309 Dated 10/02/2026</t>
  </si>
  <si>
    <t>AMS/25-26/310 Dated 10/02/2026</t>
  </si>
  <si>
    <t>Expected Cash</t>
  </si>
  <si>
    <t>Total</t>
  </si>
  <si>
    <t>Total Cash</t>
  </si>
  <si>
    <t>Amount</t>
  </si>
  <si>
    <t>Name</t>
  </si>
  <si>
    <t>Vijay Shah (Sr No 73)</t>
  </si>
  <si>
    <t>Pravin (Sr No 70)</t>
  </si>
  <si>
    <t>Sharad (Sr No 80)</t>
  </si>
  <si>
    <t>Jiyansh Gandhi (Sr No 213)</t>
  </si>
  <si>
    <t>Karan (Sr No 219, 220)</t>
  </si>
  <si>
    <t>Total MCA Cash (Sr No 167,168,169,171,176,179,182,183,185,188,193)</t>
  </si>
  <si>
    <t>Paid on 08/02/2026</t>
  </si>
  <si>
    <t>Paid on 09/02/2026</t>
  </si>
  <si>
    <t>Paid on 12/02/2026</t>
  </si>
  <si>
    <t>AMS/25-26/314 Dated 14/02/2026</t>
  </si>
  <si>
    <t>AMS/25-26/323 Dated 23/02/2026</t>
  </si>
  <si>
    <t>Online On 11.02.26</t>
  </si>
  <si>
    <t>Online On 10.02.26</t>
  </si>
  <si>
    <t>Satish Bankhele</t>
  </si>
  <si>
    <t>4th</t>
  </si>
  <si>
    <t>Nilesh Kadam</t>
  </si>
  <si>
    <t>Online 25/02/2025</t>
  </si>
  <si>
    <t>Online 25/02/2026. 1360</t>
  </si>
  <si>
    <t>Online 25/02/2026.</t>
  </si>
  <si>
    <t>Online 24/02/2026</t>
  </si>
  <si>
    <t>Ankle Socks (Misc)</t>
  </si>
  <si>
    <t>DIF IN MCA FAIR</t>
  </si>
  <si>
    <t>Online 18/01/2026 (480+359)</t>
  </si>
  <si>
    <t>Shivam</t>
  </si>
  <si>
    <t>Txn ID 760317210807 On 27.02.2026</t>
  </si>
  <si>
    <t>Txn ID 605817599442 On 27.02.2026</t>
  </si>
  <si>
    <t>Txn ID 605814753441 On 27.02.2026</t>
  </si>
  <si>
    <t>Harsh Asar</t>
  </si>
  <si>
    <t>Harshal</t>
  </si>
  <si>
    <t>Northstar Events</t>
  </si>
  <si>
    <t>RD's Blasters</t>
  </si>
  <si>
    <t>Lucrum Bulls</t>
  </si>
  <si>
    <t>5th</t>
  </si>
  <si>
    <t>Srishti Lions</t>
  </si>
  <si>
    <t>Shakers</t>
  </si>
  <si>
    <t>weoliv</t>
  </si>
  <si>
    <t>MCA Event</t>
  </si>
  <si>
    <t>Running Shoes - Womens</t>
  </si>
  <si>
    <t>Agility R02</t>
  </si>
  <si>
    <t xml:space="preserve">4th </t>
  </si>
  <si>
    <t>Aveline Rodrigues</t>
  </si>
  <si>
    <t>Deepak Chahr</t>
  </si>
  <si>
    <t>Dhananjay</t>
  </si>
  <si>
    <t>Tejas Salian</t>
  </si>
  <si>
    <t>Hunter 2</t>
  </si>
  <si>
    <t>6th</t>
  </si>
  <si>
    <t>D9 Comfort R02</t>
  </si>
  <si>
    <t>AMS/25-26/337 Dated 05/03/2026</t>
  </si>
  <si>
    <t>Online on 25/02/2025</t>
  </si>
  <si>
    <t>AMS/25-26/338 Dated 05/03/2026</t>
  </si>
  <si>
    <t>AMS/25-26/339 Dated 05/03/2026</t>
  </si>
  <si>
    <t>Poojan Shah</t>
  </si>
  <si>
    <t xml:space="preserve">Hiren  </t>
  </si>
  <si>
    <t>PPL 1</t>
  </si>
  <si>
    <t>Shriraj Warekar</t>
  </si>
  <si>
    <t>Avinash M</t>
  </si>
  <si>
    <t>Rushil Dedhia</t>
  </si>
  <si>
    <t>To be Invoiced 1</t>
  </si>
  <si>
    <t>Online on 02/02/2026</t>
  </si>
  <si>
    <t>Online 09/03/2026</t>
  </si>
  <si>
    <t>Online 09/03/2026.</t>
  </si>
  <si>
    <t>Karan Seth</t>
  </si>
  <si>
    <t>Sagar Gavandi</t>
  </si>
  <si>
    <t>Sudhir (personal use)</t>
  </si>
  <si>
    <t>Sudhir Rout (personal use)</t>
  </si>
  <si>
    <t>Mohd Sahil</t>
  </si>
  <si>
    <t>Online 10/03/2026</t>
  </si>
  <si>
    <t>Online 11/03/2026.</t>
  </si>
  <si>
    <t>Vihaang Thakur</t>
  </si>
  <si>
    <t>Ravi Rokhade</t>
  </si>
  <si>
    <t>Shreyash</t>
  </si>
  <si>
    <t>Bhushan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</si>
</sst>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ptos"/>
      <family val="2"/>
    </font>
    <font>
      <b/>
      <sz val="14"/>
      <color theme="0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4"/>
      <color theme="1"/>
      <name val="Aptos"/>
      <family val="2"/>
    </font>
    <font>
      <sz val="12"/>
      <color rgb="FFFF000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sz val="12"/>
      <name val="Aptos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7" fillId="0" borderId="4" xfId="0" applyFont="1" applyBorder="1" applyAlignment="1">
      <alignment wrapText="1"/>
    </xf>
    <xf numFmtId="164" fontId="6" fillId="0" borderId="4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horizontal="left"/>
    </xf>
    <xf numFmtId="164" fontId="6" fillId="0" borderId="0" xfId="0" applyNumberFormat="1" applyFont="1"/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wrapText="1"/>
    </xf>
    <xf numFmtId="0" fontId="9" fillId="0" borderId="3" xfId="0" applyFont="1" applyBorder="1" applyAlignment="1">
      <alignment horizontal="center" wrapText="1"/>
    </xf>
    <xf numFmtId="164" fontId="9" fillId="0" borderId="4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/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/>
    <xf numFmtId="0" fontId="6" fillId="0" borderId="7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7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6" fillId="0" borderId="4" xfId="0" applyFont="1" applyBorder="1" applyAlignment="1">
      <alignment horizontal="left" wrapText="1"/>
    </xf>
    <xf numFmtId="43" fontId="4" fillId="0" borderId="0" xfId="1" applyFont="1"/>
    <xf numFmtId="43" fontId="7" fillId="0" borderId="0" xfId="1" applyFont="1"/>
    <xf numFmtId="43" fontId="0" fillId="0" borderId="0" xfId="1" applyFont="1"/>
    <xf numFmtId="0" fontId="7" fillId="0" borderId="4" xfId="0" applyFont="1" applyBorder="1" applyAlignment="1">
      <alignment horizontal="center" wrapText="1"/>
    </xf>
    <xf numFmtId="0" fontId="5" fillId="6" borderId="5" xfId="0" applyFont="1" applyFill="1" applyBorder="1" applyAlignment="1">
      <alignment horizontal="center"/>
    </xf>
    <xf numFmtId="164" fontId="9" fillId="6" borderId="4" xfId="0" applyNumberFormat="1" applyFont="1" applyFill="1" applyBorder="1" applyAlignment="1">
      <alignment horizontal="center"/>
    </xf>
    <xf numFmtId="164" fontId="6" fillId="6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wrapText="1"/>
    </xf>
    <xf numFmtId="43" fontId="6" fillId="0" borderId="0" xfId="1" applyFont="1"/>
    <xf numFmtId="0" fontId="9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/>
    <xf numFmtId="9" fontId="6" fillId="6" borderId="4" xfId="2" applyFont="1" applyFill="1" applyBorder="1" applyAlignment="1">
      <alignment horizontal="center"/>
    </xf>
    <xf numFmtId="9" fontId="9" fillId="0" borderId="4" xfId="0" applyNumberFormat="1" applyFont="1" applyBorder="1" applyAlignment="1">
      <alignment horizontal="center" wrapText="1"/>
    </xf>
    <xf numFmtId="9" fontId="6" fillId="0" borderId="4" xfId="0" applyNumberFormat="1" applyFont="1" applyBorder="1" applyAlignment="1">
      <alignment horizontal="center" wrapText="1"/>
    </xf>
    <xf numFmtId="0" fontId="5" fillId="7" borderId="5" xfId="0" applyFont="1" applyFill="1" applyBorder="1" applyAlignment="1">
      <alignment horizontal="center"/>
    </xf>
    <xf numFmtId="43" fontId="5" fillId="7" borderId="5" xfId="1" applyFont="1" applyFill="1" applyBorder="1" applyAlignment="1">
      <alignment horizontal="center"/>
    </xf>
    <xf numFmtId="9" fontId="9" fillId="7" borderId="4" xfId="0" applyNumberFormat="1" applyFont="1" applyFill="1" applyBorder="1" applyAlignment="1">
      <alignment horizontal="center" wrapText="1"/>
    </xf>
    <xf numFmtId="43" fontId="9" fillId="7" borderId="4" xfId="1" applyFont="1" applyFill="1" applyBorder="1" applyAlignment="1">
      <alignment horizontal="center" wrapText="1"/>
    </xf>
    <xf numFmtId="9" fontId="6" fillId="7" borderId="4" xfId="0" applyNumberFormat="1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right" wrapText="1"/>
    </xf>
    <xf numFmtId="43" fontId="6" fillId="7" borderId="4" xfId="1" applyFont="1" applyFill="1" applyBorder="1" applyAlignment="1">
      <alignment horizontal="right" wrapText="1"/>
    </xf>
    <xf numFmtId="43" fontId="6" fillId="7" borderId="4" xfId="1" applyFont="1" applyFill="1" applyBorder="1" applyAlignment="1">
      <alignment horizontal="center" wrapText="1"/>
    </xf>
    <xf numFmtId="0" fontId="7" fillId="7" borderId="4" xfId="0" applyFont="1" applyFill="1" applyBorder="1" applyAlignment="1">
      <alignment horizontal="center" wrapText="1"/>
    </xf>
    <xf numFmtId="43" fontId="7" fillId="7" borderId="4" xfId="1" applyFont="1" applyFill="1" applyBorder="1" applyAlignment="1">
      <alignment horizontal="center" wrapText="1"/>
    </xf>
    <xf numFmtId="9" fontId="7" fillId="6" borderId="4" xfId="2" applyFont="1" applyFill="1" applyBorder="1" applyAlignment="1">
      <alignment horizontal="center"/>
    </xf>
    <xf numFmtId="43" fontId="0" fillId="0" borderId="0" xfId="0" applyNumberForma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center" wrapText="1"/>
    </xf>
    <xf numFmtId="0" fontId="3" fillId="7" borderId="9" xfId="0" applyFont="1" applyFill="1" applyBorder="1" applyAlignment="1">
      <alignment horizontal="center" wrapText="1"/>
    </xf>
    <xf numFmtId="43" fontId="3" fillId="7" borderId="9" xfId="1" applyFont="1" applyFill="1" applyBorder="1" applyAlignment="1">
      <alignment horizontal="center" wrapText="1"/>
    </xf>
    <xf numFmtId="164" fontId="3" fillId="0" borderId="9" xfId="0" applyNumberFormat="1" applyFont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0" fillId="0" borderId="0" xfId="0" applyFont="1"/>
    <xf numFmtId="43" fontId="10" fillId="0" borderId="0" xfId="1" applyFont="1"/>
    <xf numFmtId="0" fontId="3" fillId="0" borderId="0" xfId="0" applyFont="1"/>
    <xf numFmtId="0" fontId="9" fillId="8" borderId="4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9" fontId="9" fillId="6" borderId="4" xfId="2" applyFont="1" applyFill="1" applyBorder="1" applyAlignment="1">
      <alignment horizontal="center"/>
    </xf>
    <xf numFmtId="43" fontId="9" fillId="0" borderId="0" xfId="1" applyFont="1"/>
    <xf numFmtId="0" fontId="7" fillId="0" borderId="16" xfId="0" quotePrefix="1" applyFont="1" applyBorder="1" applyAlignment="1">
      <alignment horizontal="center"/>
    </xf>
    <xf numFmtId="0" fontId="9" fillId="9" borderId="4" xfId="0" applyFont="1" applyFill="1" applyBorder="1" applyAlignment="1">
      <alignment horizontal="left" wrapText="1"/>
    </xf>
    <xf numFmtId="0" fontId="9" fillId="9" borderId="4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 wrapText="1"/>
    </xf>
    <xf numFmtId="0" fontId="9" fillId="9" borderId="4" xfId="0" applyFont="1" applyFill="1" applyBorder="1" applyAlignment="1">
      <alignment horizontal="center" wrapText="1"/>
    </xf>
    <xf numFmtId="164" fontId="9" fillId="9" borderId="4" xfId="0" applyNumberFormat="1" applyFont="1" applyFill="1" applyBorder="1" applyAlignment="1">
      <alignment horizontal="center"/>
    </xf>
    <xf numFmtId="9" fontId="9" fillId="9" borderId="4" xfId="0" applyNumberFormat="1" applyFont="1" applyFill="1" applyBorder="1" applyAlignment="1">
      <alignment horizontal="center" wrapText="1"/>
    </xf>
    <xf numFmtId="43" fontId="9" fillId="9" borderId="4" xfId="1" applyFont="1" applyFill="1" applyBorder="1" applyAlignment="1">
      <alignment horizontal="center" wrapText="1"/>
    </xf>
    <xf numFmtId="9" fontId="9" fillId="9" borderId="4" xfId="2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9" fillId="9" borderId="0" xfId="0" applyFont="1" applyFill="1"/>
    <xf numFmtId="0" fontId="6" fillId="9" borderId="2" xfId="0" applyFont="1" applyFill="1" applyBorder="1" applyAlignment="1">
      <alignment horizontal="center"/>
    </xf>
    <xf numFmtId="43" fontId="7" fillId="0" borderId="0" xfId="1" applyFont="1" applyFill="1"/>
    <xf numFmtId="164" fontId="6" fillId="0" borderId="4" xfId="0" applyNumberFormat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 wrapText="1"/>
    </xf>
    <xf numFmtId="164" fontId="0" fillId="0" borderId="0" xfId="0" applyNumberFormat="1"/>
    <xf numFmtId="0" fontId="6" fillId="9" borderId="3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 wrapText="1"/>
    </xf>
    <xf numFmtId="0" fontId="6" fillId="10" borderId="3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9" borderId="3" xfId="0" applyFont="1" applyFill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1" fillId="0" borderId="3" xfId="0" applyFont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164" fontId="12" fillId="0" borderId="4" xfId="0" applyNumberFormat="1" applyFont="1" applyBorder="1" applyAlignment="1">
      <alignment horizontal="center"/>
    </xf>
    <xf numFmtId="9" fontId="11" fillId="0" borderId="4" xfId="0" applyNumberFormat="1" applyFont="1" applyBorder="1" applyAlignment="1">
      <alignment horizontal="center" wrapText="1"/>
    </xf>
    <xf numFmtId="9" fontId="11" fillId="7" borderId="4" xfId="0" applyNumberFormat="1" applyFont="1" applyFill="1" applyBorder="1" applyAlignment="1">
      <alignment horizontal="center" wrapText="1"/>
    </xf>
    <xf numFmtId="43" fontId="11" fillId="7" borderId="4" xfId="1" applyFont="1" applyFill="1" applyBorder="1" applyAlignment="1">
      <alignment horizontal="center" wrapText="1"/>
    </xf>
    <xf numFmtId="164" fontId="11" fillId="0" borderId="4" xfId="0" applyNumberFormat="1" applyFont="1" applyBorder="1" applyAlignment="1">
      <alignment horizontal="center"/>
    </xf>
    <xf numFmtId="9" fontId="11" fillId="6" borderId="4" xfId="2" applyFont="1" applyFill="1" applyBorder="1" applyAlignment="1">
      <alignment horizontal="center"/>
    </xf>
    <xf numFmtId="164" fontId="11" fillId="6" borderId="4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0" xfId="0" applyFont="1"/>
    <xf numFmtId="43" fontId="12" fillId="0" borderId="0" xfId="1" applyFont="1"/>
    <xf numFmtId="0" fontId="11" fillId="0" borderId="7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9" fontId="7" fillId="0" borderId="4" xfId="0" applyNumberFormat="1" applyFont="1" applyBorder="1" applyAlignment="1">
      <alignment horizontal="center" wrapText="1"/>
    </xf>
    <xf numFmtId="9" fontId="7" fillId="7" borderId="4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7" borderId="4" xfId="0" applyFont="1" applyFill="1" applyBorder="1" applyAlignment="1">
      <alignment horizontal="right" wrapText="1"/>
    </xf>
    <xf numFmtId="43" fontId="7" fillId="7" borderId="4" xfId="1" applyFont="1" applyFill="1" applyBorder="1" applyAlignment="1">
      <alignment horizontal="right" wrapText="1"/>
    </xf>
    <xf numFmtId="0" fontId="11" fillId="0" borderId="3" xfId="0" applyFont="1" applyBorder="1" applyAlignment="1">
      <alignment wrapText="1"/>
    </xf>
    <xf numFmtId="0" fontId="11" fillId="8" borderId="4" xfId="0" applyFont="1" applyFill="1" applyBorder="1" applyAlignment="1">
      <alignment horizontal="center" wrapText="1"/>
    </xf>
    <xf numFmtId="0" fontId="12" fillId="0" borderId="3" xfId="0" applyFont="1" applyBorder="1" applyAlignment="1">
      <alignment wrapText="1"/>
    </xf>
    <xf numFmtId="0" fontId="11" fillId="9" borderId="3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right" wrapText="1"/>
    </xf>
    <xf numFmtId="43" fontId="11" fillId="7" borderId="4" xfId="1" applyFont="1" applyFill="1" applyBorder="1" applyAlignment="1">
      <alignment horizontal="right" wrapText="1"/>
    </xf>
    <xf numFmtId="0" fontId="13" fillId="0" borderId="0" xfId="0" applyFont="1"/>
    <xf numFmtId="0" fontId="15" fillId="0" borderId="3" xfId="0" applyFont="1" applyBorder="1" applyAlignment="1">
      <alignment wrapText="1"/>
    </xf>
    <xf numFmtId="0" fontId="13" fillId="0" borderId="3" xfId="0" applyFont="1" applyBorder="1" applyAlignment="1">
      <alignment horizontal="center" wrapText="1"/>
    </xf>
    <xf numFmtId="0" fontId="16" fillId="0" borderId="0" xfId="0" applyFont="1"/>
    <xf numFmtId="0" fontId="13" fillId="0" borderId="3" xfId="0" applyFont="1" applyBorder="1" applyAlignment="1">
      <alignment wrapText="1"/>
    </xf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 wrapText="1"/>
    </xf>
    <xf numFmtId="0" fontId="13" fillId="0" borderId="3" xfId="0" applyFont="1" applyBorder="1"/>
    <xf numFmtId="0" fontId="13" fillId="3" borderId="3" xfId="0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9" borderId="3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left"/>
    </xf>
    <xf numFmtId="164" fontId="13" fillId="6" borderId="3" xfId="0" applyNumberFormat="1" applyFont="1" applyFill="1" applyBorder="1" applyAlignment="1">
      <alignment horizontal="left"/>
    </xf>
    <xf numFmtId="164" fontId="15" fillId="6" borderId="3" xfId="0" applyNumberFormat="1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6" fillId="0" borderId="3" xfId="0" applyFont="1" applyBorder="1"/>
    <xf numFmtId="164" fontId="16" fillId="0" borderId="3" xfId="0" applyNumberFormat="1" applyFont="1" applyBorder="1" applyAlignment="1">
      <alignment horizontal="left"/>
    </xf>
    <xf numFmtId="43" fontId="0" fillId="0" borderId="3" xfId="1" applyFont="1" applyBorder="1"/>
    <xf numFmtId="0" fontId="17" fillId="9" borderId="3" xfId="0" applyFont="1" applyFill="1" applyBorder="1"/>
    <xf numFmtId="43" fontId="17" fillId="9" borderId="3" xfId="1" applyFont="1" applyFill="1" applyBorder="1"/>
    <xf numFmtId="0" fontId="10" fillId="6" borderId="3" xfId="0" applyFont="1" applyFill="1" applyBorder="1"/>
    <xf numFmtId="0" fontId="0" fillId="0" borderId="3" xfId="0" applyBorder="1"/>
    <xf numFmtId="0" fontId="6" fillId="9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2" fillId="9" borderId="3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wrapText="1"/>
    </xf>
    <xf numFmtId="0" fontId="6" fillId="5" borderId="3" xfId="0" applyFont="1" applyFill="1" applyBorder="1" applyAlignment="1">
      <alignment horizontal="left" wrapText="1"/>
    </xf>
    <xf numFmtId="0" fontId="6" fillId="5" borderId="4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43" fontId="8" fillId="4" borderId="12" xfId="1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F126-DFA1-49B3-AB61-CBDAC836AD2A}">
  <sheetPr>
    <pageSetUpPr fitToPage="1"/>
  </sheetPr>
  <dimension ref="A1:AF322"/>
  <sheetViews>
    <sheetView tabSelected="1" view="pageBreakPreview" zoomScale="85" zoomScaleNormal="85" zoomScaleSheetLayoutView="85" workbookViewId="0">
      <pane ySplit="2" topLeftCell="A299" activePane="bottomLeft" state="frozen"/>
      <selection activeCell="L1" sqref="L1"/>
      <selection pane="bottomLeft" activeCell="C306" sqref="C306"/>
    </sheetView>
  </sheetViews>
  <sheetFormatPr defaultRowHeight="14.5" x14ac:dyDescent="0.35"/>
  <cols>
    <col min="2" max="2" width="32.1796875" customWidth="1"/>
    <col min="3" max="3" width="22.54296875" bestFit="1" customWidth="1"/>
    <col min="4" max="6" width="11.1796875" customWidth="1"/>
    <col min="7" max="7" width="29.453125" customWidth="1"/>
    <col min="8" max="8" width="28.7265625" customWidth="1"/>
    <col min="9" max="9" width="13.81640625" bestFit="1" customWidth="1"/>
    <col min="10" max="10" width="17.1796875" style="47" customWidth="1"/>
    <col min="11" max="11" width="20.81640625" style="47" customWidth="1"/>
    <col min="12" max="12" width="23.81640625" style="47" customWidth="1"/>
    <col min="13" max="13" width="14.81640625" customWidth="1"/>
    <col min="14" max="14" width="23.81640625" bestFit="1" customWidth="1"/>
    <col min="15" max="18" width="23.81640625" customWidth="1"/>
    <col min="19" max="19" width="31" bestFit="1" customWidth="1"/>
    <col min="20" max="20" width="10.54296875" customWidth="1"/>
    <col min="21" max="21" width="24.54296875" bestFit="1" customWidth="1"/>
    <col min="22" max="22" width="29.81640625" bestFit="1" customWidth="1"/>
    <col min="23" max="23" width="35.81640625" bestFit="1" customWidth="1"/>
    <col min="24" max="24" width="79.1796875" bestFit="1" customWidth="1"/>
    <col min="25" max="25" width="36.26953125" bestFit="1" customWidth="1"/>
    <col min="26" max="27" width="10.54296875" style="47" customWidth="1"/>
    <col min="28" max="28" width="10.54296875" style="47" bestFit="1" customWidth="1"/>
    <col min="29" max="32" width="8.81640625" style="1"/>
  </cols>
  <sheetData>
    <row r="1" spans="1:28" s="2" customFormat="1" ht="18" customHeight="1" thickBot="1" x14ac:dyDescent="0.5">
      <c r="A1" s="188" t="s">
        <v>27</v>
      </c>
      <c r="B1" s="189"/>
      <c r="C1" s="189"/>
      <c r="D1" s="189"/>
      <c r="E1" s="189"/>
      <c r="F1" s="189"/>
      <c r="G1" s="189"/>
      <c r="H1" s="189"/>
      <c r="I1" s="189"/>
      <c r="J1" s="190"/>
      <c r="K1" s="190"/>
      <c r="L1" s="190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91"/>
      <c r="Z1" s="45"/>
      <c r="AA1" s="45"/>
      <c r="AB1" s="45"/>
    </row>
    <row r="2" spans="1:28" s="2" customFormat="1" ht="18" customHeight="1" thickBot="1" x14ac:dyDescent="0.5">
      <c r="A2" s="15" t="s">
        <v>0</v>
      </c>
      <c r="B2" s="15" t="s">
        <v>91</v>
      </c>
      <c r="C2" s="15" t="s">
        <v>28</v>
      </c>
      <c r="D2" s="3" t="s">
        <v>3</v>
      </c>
      <c r="E2" s="3" t="s">
        <v>104</v>
      </c>
      <c r="F2" s="3" t="s">
        <v>137</v>
      </c>
      <c r="G2" s="3" t="s">
        <v>120</v>
      </c>
      <c r="H2" s="3" t="s">
        <v>121</v>
      </c>
      <c r="I2" s="61" t="s">
        <v>118</v>
      </c>
      <c r="J2" s="62" t="s">
        <v>122</v>
      </c>
      <c r="K2" s="62" t="s">
        <v>123</v>
      </c>
      <c r="L2" s="62" t="s">
        <v>124</v>
      </c>
      <c r="M2" s="3" t="s">
        <v>2</v>
      </c>
      <c r="N2" s="3" t="s">
        <v>80</v>
      </c>
      <c r="O2" s="49" t="s">
        <v>118</v>
      </c>
      <c r="P2" s="49" t="s">
        <v>125</v>
      </c>
      <c r="Q2" s="49" t="s">
        <v>123</v>
      </c>
      <c r="R2" s="49" t="s">
        <v>106</v>
      </c>
      <c r="S2" s="3" t="s">
        <v>1</v>
      </c>
      <c r="T2" s="3" t="s">
        <v>6</v>
      </c>
      <c r="U2" s="4" t="s">
        <v>105</v>
      </c>
      <c r="V2" s="4" t="s">
        <v>73</v>
      </c>
      <c r="W2" s="4" t="s">
        <v>60</v>
      </c>
      <c r="X2" s="4" t="s">
        <v>77</v>
      </c>
      <c r="Y2" s="2" t="s">
        <v>292</v>
      </c>
      <c r="Z2" s="45"/>
      <c r="AA2" s="45"/>
      <c r="AB2" s="45"/>
    </row>
    <row r="3" spans="1:28" s="23" customFormat="1" ht="18" customHeight="1" x14ac:dyDescent="0.4">
      <c r="A3" s="17">
        <v>1</v>
      </c>
      <c r="B3" s="18" t="s">
        <v>30</v>
      </c>
      <c r="C3" s="18" t="s">
        <v>29</v>
      </c>
      <c r="D3" s="19" t="s">
        <v>4</v>
      </c>
      <c r="E3" s="86" t="s">
        <v>107</v>
      </c>
      <c r="F3" s="86">
        <v>1</v>
      </c>
      <c r="G3" s="20">
        <v>2207</v>
      </c>
      <c r="H3" s="59">
        <v>0.5</v>
      </c>
      <c r="I3" s="63">
        <v>0.05</v>
      </c>
      <c r="J3" s="64">
        <v>1050.95</v>
      </c>
      <c r="K3" s="64">
        <f>+J3*I3</f>
        <v>52.547500000000007</v>
      </c>
      <c r="L3" s="64">
        <f t="shared" ref="L3:L34" si="0">+J3+K3</f>
        <v>1103.4974999999999</v>
      </c>
      <c r="M3" s="20">
        <v>1103.5</v>
      </c>
      <c r="N3" s="20"/>
      <c r="O3" s="50"/>
      <c r="P3" s="50"/>
      <c r="Q3" s="50"/>
      <c r="R3" s="50"/>
      <c r="S3" s="21" t="s">
        <v>11</v>
      </c>
      <c r="T3" s="21" t="s">
        <v>10</v>
      </c>
      <c r="U3" s="22"/>
      <c r="V3" s="35" t="s">
        <v>54</v>
      </c>
      <c r="W3" s="39" t="s">
        <v>74</v>
      </c>
      <c r="X3" s="55" t="s">
        <v>79</v>
      </c>
    </row>
    <row r="4" spans="1:28" s="23" customFormat="1" ht="18" customHeight="1" x14ac:dyDescent="0.4">
      <c r="A4" s="17">
        <v>2</v>
      </c>
      <c r="B4" s="18" t="s">
        <v>30</v>
      </c>
      <c r="C4" s="24" t="s">
        <v>32</v>
      </c>
      <c r="D4" s="19" t="s">
        <v>4</v>
      </c>
      <c r="E4" s="86" t="s">
        <v>107</v>
      </c>
      <c r="F4" s="86">
        <v>1</v>
      </c>
      <c r="G4" s="20">
        <v>1967</v>
      </c>
      <c r="H4" s="59">
        <v>0.5</v>
      </c>
      <c r="I4" s="63">
        <v>0.05</v>
      </c>
      <c r="J4" s="64">
        <v>936.67</v>
      </c>
      <c r="K4" s="64">
        <f>+J4*I4</f>
        <v>46.833500000000001</v>
      </c>
      <c r="L4" s="64">
        <f t="shared" si="0"/>
        <v>983.50349999999992</v>
      </c>
      <c r="M4" s="20">
        <v>983.5</v>
      </c>
      <c r="N4" s="20"/>
      <c r="O4" s="50"/>
      <c r="P4" s="50"/>
      <c r="Q4" s="50"/>
      <c r="R4" s="50"/>
      <c r="S4" s="21" t="s">
        <v>11</v>
      </c>
      <c r="T4" s="21" t="s">
        <v>10</v>
      </c>
      <c r="U4" s="22"/>
      <c r="V4" s="35" t="s">
        <v>54</v>
      </c>
      <c r="W4" s="39" t="s">
        <v>74</v>
      </c>
      <c r="X4" s="39" t="s">
        <v>79</v>
      </c>
    </row>
    <row r="5" spans="1:28" s="23" customFormat="1" ht="18" customHeight="1" x14ac:dyDescent="0.4">
      <c r="A5" s="17">
        <v>3</v>
      </c>
      <c r="B5" s="18" t="s">
        <v>30</v>
      </c>
      <c r="C5" s="24" t="s">
        <v>32</v>
      </c>
      <c r="D5" s="19" t="s">
        <v>20</v>
      </c>
      <c r="E5" s="86" t="s">
        <v>107</v>
      </c>
      <c r="F5" s="86">
        <v>1</v>
      </c>
      <c r="G5" s="20">
        <v>1967</v>
      </c>
      <c r="H5" s="59">
        <v>0.5</v>
      </c>
      <c r="I5" s="63">
        <v>0.05</v>
      </c>
      <c r="J5" s="64">
        <v>936.67</v>
      </c>
      <c r="K5" s="64">
        <f>+J5*I5</f>
        <v>46.833500000000001</v>
      </c>
      <c r="L5" s="64">
        <f t="shared" si="0"/>
        <v>983.50349999999992</v>
      </c>
      <c r="M5" s="20">
        <v>983.5</v>
      </c>
      <c r="N5" s="20"/>
      <c r="O5" s="50"/>
      <c r="P5" s="50"/>
      <c r="Q5" s="50"/>
      <c r="R5" s="50"/>
      <c r="S5" s="21" t="s">
        <v>37</v>
      </c>
      <c r="T5" s="21" t="s">
        <v>10</v>
      </c>
      <c r="U5" s="42" t="s">
        <v>15</v>
      </c>
      <c r="V5" s="43" t="s">
        <v>54</v>
      </c>
      <c r="W5" s="39" t="s">
        <v>74</v>
      </c>
      <c r="X5" s="39" t="s">
        <v>79</v>
      </c>
    </row>
    <row r="6" spans="1:28" s="23" customFormat="1" ht="18" customHeight="1" x14ac:dyDescent="0.4">
      <c r="A6" s="17">
        <v>4</v>
      </c>
      <c r="B6" s="18" t="s">
        <v>30</v>
      </c>
      <c r="C6" s="24" t="s">
        <v>34</v>
      </c>
      <c r="D6" s="19" t="s">
        <v>16</v>
      </c>
      <c r="E6" s="86" t="s">
        <v>107</v>
      </c>
      <c r="F6" s="86">
        <v>1</v>
      </c>
      <c r="G6" s="20">
        <v>4500</v>
      </c>
      <c r="H6" s="59">
        <v>0.5</v>
      </c>
      <c r="I6" s="63">
        <v>0.18</v>
      </c>
      <c r="J6" s="64">
        <v>1906.78</v>
      </c>
      <c r="K6" s="64">
        <f>+J6*I6</f>
        <v>343.22039999999998</v>
      </c>
      <c r="L6" s="64">
        <f t="shared" si="0"/>
        <v>2250.0003999999999</v>
      </c>
      <c r="M6" s="20">
        <v>2025</v>
      </c>
      <c r="N6" s="20"/>
      <c r="O6" s="50"/>
      <c r="P6" s="50"/>
      <c r="Q6" s="50"/>
      <c r="R6" s="50"/>
      <c r="S6" s="19" t="s">
        <v>17</v>
      </c>
      <c r="T6" s="21" t="s">
        <v>10</v>
      </c>
      <c r="U6" s="42" t="s">
        <v>15</v>
      </c>
      <c r="V6" s="43" t="s">
        <v>54</v>
      </c>
      <c r="W6" s="39" t="s">
        <v>74</v>
      </c>
      <c r="X6" s="39" t="s">
        <v>79</v>
      </c>
    </row>
    <row r="7" spans="1:28" s="23" customFormat="1" ht="18" customHeight="1" x14ac:dyDescent="0.4">
      <c r="A7" s="17">
        <v>5</v>
      </c>
      <c r="B7" s="25" t="s">
        <v>36</v>
      </c>
      <c r="C7" s="25" t="s">
        <v>33</v>
      </c>
      <c r="D7" s="19" t="s">
        <v>12</v>
      </c>
      <c r="E7" s="86" t="s">
        <v>107</v>
      </c>
      <c r="F7" s="86">
        <v>1</v>
      </c>
      <c r="G7" s="20">
        <v>9000</v>
      </c>
      <c r="H7" s="59">
        <v>0.5</v>
      </c>
      <c r="I7" s="63">
        <v>0.18</v>
      </c>
      <c r="J7" s="64">
        <v>3813.75</v>
      </c>
      <c r="K7" s="64">
        <f>+I7*J7</f>
        <v>686.47500000000002</v>
      </c>
      <c r="L7" s="64">
        <f t="shared" si="0"/>
        <v>4500.2250000000004</v>
      </c>
      <c r="M7" s="20">
        <v>4500</v>
      </c>
      <c r="N7" s="20"/>
      <c r="O7" s="50"/>
      <c r="P7" s="50"/>
      <c r="Q7" s="50"/>
      <c r="R7" s="50"/>
      <c r="S7" s="21" t="s">
        <v>13</v>
      </c>
      <c r="T7" s="21" t="s">
        <v>10</v>
      </c>
      <c r="U7" s="42"/>
      <c r="V7" s="43" t="s">
        <v>54</v>
      </c>
      <c r="W7" s="39" t="s">
        <v>74</v>
      </c>
      <c r="X7" s="39" t="s">
        <v>79</v>
      </c>
    </row>
    <row r="8" spans="1:28" s="23" customFormat="1" ht="18" customHeight="1" x14ac:dyDescent="0.4">
      <c r="A8" s="17">
        <v>6</v>
      </c>
      <c r="B8" s="25" t="s">
        <v>36</v>
      </c>
      <c r="C8" s="25" t="s">
        <v>33</v>
      </c>
      <c r="D8" s="19" t="s">
        <v>12</v>
      </c>
      <c r="E8" s="86" t="s">
        <v>107</v>
      </c>
      <c r="F8" s="86">
        <v>1</v>
      </c>
      <c r="G8" s="20">
        <v>9000</v>
      </c>
      <c r="H8" s="59">
        <v>0.5</v>
      </c>
      <c r="I8" s="63">
        <v>0.18</v>
      </c>
      <c r="J8" s="64">
        <v>3813.75</v>
      </c>
      <c r="K8" s="64">
        <f>+I8*J8</f>
        <v>686.47500000000002</v>
      </c>
      <c r="L8" s="64">
        <f t="shared" si="0"/>
        <v>4500.2250000000004</v>
      </c>
      <c r="M8" s="20">
        <v>4500</v>
      </c>
      <c r="N8" s="20"/>
      <c r="O8" s="50"/>
      <c r="P8" s="50"/>
      <c r="Q8" s="50"/>
      <c r="R8" s="50"/>
      <c r="S8" s="21" t="s">
        <v>14</v>
      </c>
      <c r="T8" s="21" t="s">
        <v>10</v>
      </c>
      <c r="U8" s="42" t="s">
        <v>15</v>
      </c>
      <c r="V8" s="43" t="s">
        <v>54</v>
      </c>
      <c r="W8" s="39" t="s">
        <v>74</v>
      </c>
      <c r="X8" s="39" t="s">
        <v>79</v>
      </c>
    </row>
    <row r="9" spans="1:28" s="23" customFormat="1" ht="18" customHeight="1" x14ac:dyDescent="0.4">
      <c r="A9" s="17">
        <v>7</v>
      </c>
      <c r="B9" s="18" t="s">
        <v>30</v>
      </c>
      <c r="C9" s="24" t="s">
        <v>31</v>
      </c>
      <c r="D9" s="19" t="s">
        <v>41</v>
      </c>
      <c r="E9" s="86" t="s">
        <v>107</v>
      </c>
      <c r="F9" s="86">
        <v>1</v>
      </c>
      <c r="G9" s="20">
        <v>1967</v>
      </c>
      <c r="H9" s="59">
        <v>0.5</v>
      </c>
      <c r="I9" s="63">
        <v>0.05</v>
      </c>
      <c r="J9" s="64">
        <v>936.67</v>
      </c>
      <c r="K9" s="64">
        <f>+J9*I9</f>
        <v>46.833500000000001</v>
      </c>
      <c r="L9" s="64">
        <f t="shared" si="0"/>
        <v>983.50349999999992</v>
      </c>
      <c r="M9" s="20">
        <v>983.5</v>
      </c>
      <c r="N9" s="20"/>
      <c r="O9" s="50"/>
      <c r="P9" s="50"/>
      <c r="Q9" s="50"/>
      <c r="R9" s="50"/>
      <c r="S9" s="21" t="s">
        <v>25</v>
      </c>
      <c r="T9" s="21" t="s">
        <v>10</v>
      </c>
      <c r="U9" s="22"/>
      <c r="V9" s="35" t="s">
        <v>54</v>
      </c>
      <c r="W9" s="39" t="s">
        <v>74</v>
      </c>
      <c r="X9" s="39" t="s">
        <v>79</v>
      </c>
    </row>
    <row r="10" spans="1:28" s="23" customFormat="1" ht="18" customHeight="1" x14ac:dyDescent="0.4">
      <c r="A10" s="17">
        <v>8</v>
      </c>
      <c r="B10" s="18" t="s">
        <v>30</v>
      </c>
      <c r="C10" s="24" t="s">
        <v>31</v>
      </c>
      <c r="D10" s="19" t="s">
        <v>41</v>
      </c>
      <c r="E10" s="86" t="s">
        <v>107</v>
      </c>
      <c r="F10" s="86">
        <v>1</v>
      </c>
      <c r="G10" s="20">
        <v>1967</v>
      </c>
      <c r="H10" s="59">
        <v>0.5</v>
      </c>
      <c r="I10" s="63">
        <v>0.05</v>
      </c>
      <c r="J10" s="64">
        <v>936.67</v>
      </c>
      <c r="K10" s="64">
        <f>+J10*I10</f>
        <v>46.833500000000001</v>
      </c>
      <c r="L10" s="64">
        <f t="shared" si="0"/>
        <v>983.50349999999992</v>
      </c>
      <c r="M10" s="20">
        <v>983.5</v>
      </c>
      <c r="N10" s="20"/>
      <c r="O10" s="50"/>
      <c r="P10" s="50"/>
      <c r="Q10" s="50"/>
      <c r="R10" s="50"/>
      <c r="S10" s="21" t="s">
        <v>56</v>
      </c>
      <c r="T10" s="21" t="s">
        <v>10</v>
      </c>
      <c r="U10" s="22"/>
      <c r="V10" s="35" t="s">
        <v>54</v>
      </c>
      <c r="W10" s="39" t="s">
        <v>74</v>
      </c>
      <c r="X10" s="39" t="s">
        <v>79</v>
      </c>
    </row>
    <row r="11" spans="1:28" s="23" customFormat="1" ht="18" customHeight="1" x14ac:dyDescent="0.4">
      <c r="A11" s="26">
        <v>9</v>
      </c>
      <c r="B11" s="18" t="s">
        <v>30</v>
      </c>
      <c r="C11" s="18" t="s">
        <v>49</v>
      </c>
      <c r="D11" s="19" t="s">
        <v>4</v>
      </c>
      <c r="E11" s="89" t="s">
        <v>116</v>
      </c>
      <c r="F11" s="89">
        <v>1</v>
      </c>
      <c r="G11" s="20">
        <v>2207</v>
      </c>
      <c r="H11" s="59">
        <v>0.52</v>
      </c>
      <c r="I11" s="63">
        <v>0.05</v>
      </c>
      <c r="J11" s="64">
        <v>1008.91</v>
      </c>
      <c r="K11" s="64">
        <f>+J11*I11</f>
        <v>50.445500000000003</v>
      </c>
      <c r="L11" s="64">
        <f t="shared" si="0"/>
        <v>1059.3554999999999</v>
      </c>
      <c r="M11" s="20">
        <v>1103.5</v>
      </c>
      <c r="N11" s="20"/>
      <c r="O11" s="50"/>
      <c r="P11" s="50"/>
      <c r="Q11" s="50"/>
      <c r="R11" s="50"/>
      <c r="S11" s="19" t="s">
        <v>366</v>
      </c>
      <c r="T11" s="21" t="s">
        <v>10</v>
      </c>
      <c r="U11" s="22"/>
      <c r="V11" s="35" t="s">
        <v>54</v>
      </c>
      <c r="W11" s="39" t="s">
        <v>74</v>
      </c>
      <c r="X11" s="39" t="s">
        <v>79</v>
      </c>
    </row>
    <row r="12" spans="1:28" s="7" customFormat="1" ht="18" customHeight="1" x14ac:dyDescent="0.4">
      <c r="A12" s="8">
        <v>10</v>
      </c>
      <c r="B12" s="5" t="s">
        <v>30</v>
      </c>
      <c r="C12" s="5" t="s">
        <v>29</v>
      </c>
      <c r="D12" s="9" t="s">
        <v>9</v>
      </c>
      <c r="E12" s="87" t="s">
        <v>107</v>
      </c>
      <c r="F12" s="87">
        <v>1</v>
      </c>
      <c r="G12" s="29">
        <v>2207</v>
      </c>
      <c r="H12" s="60">
        <v>0.5</v>
      </c>
      <c r="I12" s="65">
        <v>0.05</v>
      </c>
      <c r="J12" s="66">
        <v>1050.95</v>
      </c>
      <c r="K12" s="67">
        <f>+J12*I12</f>
        <v>52.547500000000007</v>
      </c>
      <c r="L12" s="67">
        <f t="shared" si="0"/>
        <v>1103.4974999999999</v>
      </c>
      <c r="M12" s="6">
        <v>1545</v>
      </c>
      <c r="N12" s="6">
        <v>1545</v>
      </c>
      <c r="O12" s="58">
        <v>0.05</v>
      </c>
      <c r="P12" s="51">
        <f t="shared" ref="P12:P17" si="1">+N12*0.952380952380952</f>
        <v>1471.4285714285709</v>
      </c>
      <c r="Q12" s="51">
        <f t="shared" ref="Q12:Q17" si="2">+P12*5%</f>
        <v>73.571428571428541</v>
      </c>
      <c r="R12" s="51">
        <f t="shared" ref="R12:R24" si="3">+P12+Q12</f>
        <v>1544.9999999999993</v>
      </c>
      <c r="S12" s="10" t="s">
        <v>5</v>
      </c>
      <c r="T12" s="10" t="s">
        <v>7</v>
      </c>
      <c r="U12" s="11" t="s">
        <v>8</v>
      </c>
      <c r="V12" s="36" t="s">
        <v>54</v>
      </c>
      <c r="W12" s="40" t="s">
        <v>74</v>
      </c>
      <c r="X12" s="40" t="s">
        <v>76</v>
      </c>
    </row>
    <row r="13" spans="1:28" s="7" customFormat="1" ht="18" customHeight="1" x14ac:dyDescent="0.4">
      <c r="A13" s="8">
        <v>11</v>
      </c>
      <c r="B13" s="5" t="s">
        <v>30</v>
      </c>
      <c r="C13" s="179" t="s">
        <v>31</v>
      </c>
      <c r="D13" s="9" t="s">
        <v>20</v>
      </c>
      <c r="E13" s="87" t="s">
        <v>107</v>
      </c>
      <c r="F13" s="87">
        <v>1</v>
      </c>
      <c r="G13" s="29">
        <v>1967</v>
      </c>
      <c r="H13" s="60">
        <v>0.5</v>
      </c>
      <c r="I13" s="65">
        <v>0.05</v>
      </c>
      <c r="J13" s="68">
        <v>936.67</v>
      </c>
      <c r="K13" s="68">
        <f>+I13*J13</f>
        <v>46.833500000000001</v>
      </c>
      <c r="L13" s="68">
        <f t="shared" si="0"/>
        <v>983.50349999999992</v>
      </c>
      <c r="M13" s="6">
        <v>1377</v>
      </c>
      <c r="N13" s="6">
        <v>1377</v>
      </c>
      <c r="O13" s="58">
        <v>0.05</v>
      </c>
      <c r="P13" s="51">
        <f t="shared" si="1"/>
        <v>1311.4285714285709</v>
      </c>
      <c r="Q13" s="51">
        <f t="shared" si="2"/>
        <v>65.571428571428541</v>
      </c>
      <c r="R13" s="127">
        <f t="shared" si="3"/>
        <v>1376.9999999999993</v>
      </c>
      <c r="S13" s="10" t="s">
        <v>25</v>
      </c>
      <c r="T13" s="10" t="s">
        <v>7</v>
      </c>
      <c r="U13" s="11" t="s">
        <v>8</v>
      </c>
      <c r="V13" s="36" t="s">
        <v>54</v>
      </c>
      <c r="W13" s="40" t="s">
        <v>74</v>
      </c>
      <c r="X13" s="40" t="s">
        <v>76</v>
      </c>
      <c r="Z13" s="16"/>
    </row>
    <row r="14" spans="1:28" s="7" customFormat="1" ht="18" customHeight="1" x14ac:dyDescent="0.4">
      <c r="A14" s="8">
        <v>12</v>
      </c>
      <c r="B14" s="5" t="s">
        <v>30</v>
      </c>
      <c r="C14" s="12" t="s">
        <v>31</v>
      </c>
      <c r="D14" s="9" t="s">
        <v>16</v>
      </c>
      <c r="E14" s="87" t="s">
        <v>107</v>
      </c>
      <c r="F14" s="87">
        <v>1</v>
      </c>
      <c r="G14" s="29">
        <v>1967</v>
      </c>
      <c r="H14" s="60">
        <v>0.5</v>
      </c>
      <c r="I14" s="65">
        <v>0.05</v>
      </c>
      <c r="J14" s="68">
        <v>936.67</v>
      </c>
      <c r="K14" s="68">
        <f>+I14*J14</f>
        <v>46.833500000000001</v>
      </c>
      <c r="L14" s="68">
        <f t="shared" si="0"/>
        <v>983.50349999999992</v>
      </c>
      <c r="M14" s="6">
        <v>1475</v>
      </c>
      <c r="N14" s="6">
        <v>1475</v>
      </c>
      <c r="O14" s="58">
        <v>0.05</v>
      </c>
      <c r="P14" s="51">
        <f t="shared" si="1"/>
        <v>1404.7619047619041</v>
      </c>
      <c r="Q14" s="51">
        <f t="shared" si="2"/>
        <v>70.238095238095212</v>
      </c>
      <c r="R14" s="51">
        <f t="shared" si="3"/>
        <v>1474.9999999999993</v>
      </c>
      <c r="S14" s="10" t="s">
        <v>24</v>
      </c>
      <c r="T14" s="10" t="s">
        <v>7</v>
      </c>
      <c r="U14" s="11" t="s">
        <v>8</v>
      </c>
      <c r="V14" s="36" t="s">
        <v>54</v>
      </c>
      <c r="W14" s="40" t="s">
        <v>74</v>
      </c>
      <c r="X14" s="40" t="s">
        <v>76</v>
      </c>
    </row>
    <row r="15" spans="1:28" s="7" customFormat="1" ht="18" customHeight="1" x14ac:dyDescent="0.4">
      <c r="A15" s="8">
        <v>13</v>
      </c>
      <c r="B15" s="5" t="s">
        <v>30</v>
      </c>
      <c r="C15" s="12" t="s">
        <v>32</v>
      </c>
      <c r="D15" s="9" t="s">
        <v>9</v>
      </c>
      <c r="E15" s="87" t="s">
        <v>107</v>
      </c>
      <c r="F15" s="87">
        <v>1</v>
      </c>
      <c r="G15" s="29">
        <v>1967</v>
      </c>
      <c r="H15" s="60">
        <v>0.5</v>
      </c>
      <c r="I15" s="65">
        <v>0.05</v>
      </c>
      <c r="J15" s="68">
        <v>936.67</v>
      </c>
      <c r="K15" s="68">
        <f>+I15*J15</f>
        <v>46.833500000000001</v>
      </c>
      <c r="L15" s="68">
        <f t="shared" si="0"/>
        <v>983.50349999999992</v>
      </c>
      <c r="M15" s="6">
        <v>1377</v>
      </c>
      <c r="N15" s="6">
        <v>1377</v>
      </c>
      <c r="O15" s="58">
        <v>0.05</v>
      </c>
      <c r="P15" s="51">
        <f t="shared" si="1"/>
        <v>1311.4285714285709</v>
      </c>
      <c r="Q15" s="51">
        <f t="shared" si="2"/>
        <v>65.571428571428541</v>
      </c>
      <c r="R15" s="51">
        <f t="shared" si="3"/>
        <v>1376.9999999999993</v>
      </c>
      <c r="S15" s="10" t="s">
        <v>19</v>
      </c>
      <c r="T15" s="10" t="s">
        <v>7</v>
      </c>
      <c r="U15" s="11" t="s">
        <v>8</v>
      </c>
      <c r="V15" s="36" t="s">
        <v>54</v>
      </c>
      <c r="W15" s="40" t="s">
        <v>74</v>
      </c>
      <c r="X15" s="40" t="s">
        <v>76</v>
      </c>
    </row>
    <row r="16" spans="1:28" s="7" customFormat="1" ht="18" customHeight="1" x14ac:dyDescent="0.4">
      <c r="A16" s="8">
        <v>14</v>
      </c>
      <c r="B16" s="5" t="s">
        <v>30</v>
      </c>
      <c r="C16" s="179" t="s">
        <v>32</v>
      </c>
      <c r="D16" s="9" t="s">
        <v>41</v>
      </c>
      <c r="E16" s="87" t="s">
        <v>107</v>
      </c>
      <c r="F16" s="87">
        <v>1</v>
      </c>
      <c r="G16" s="29">
        <v>1967</v>
      </c>
      <c r="H16" s="60">
        <v>0.5</v>
      </c>
      <c r="I16" s="65">
        <v>0.05</v>
      </c>
      <c r="J16" s="68">
        <v>936.67</v>
      </c>
      <c r="K16" s="68">
        <f>+I16*J16</f>
        <v>46.833500000000001</v>
      </c>
      <c r="L16" s="68">
        <f t="shared" si="0"/>
        <v>983.50349999999992</v>
      </c>
      <c r="M16" s="6">
        <v>1377</v>
      </c>
      <c r="N16" s="6">
        <v>1377</v>
      </c>
      <c r="O16" s="58">
        <v>0.05</v>
      </c>
      <c r="P16" s="51">
        <f t="shared" si="1"/>
        <v>1311.4285714285709</v>
      </c>
      <c r="Q16" s="51">
        <f t="shared" si="2"/>
        <v>65.571428571428541</v>
      </c>
      <c r="R16" s="127">
        <f t="shared" si="3"/>
        <v>1376.9999999999993</v>
      </c>
      <c r="S16" s="10" t="s">
        <v>25</v>
      </c>
      <c r="T16" s="10" t="s">
        <v>7</v>
      </c>
      <c r="U16" s="11" t="s">
        <v>8</v>
      </c>
      <c r="V16" s="36" t="s">
        <v>54</v>
      </c>
      <c r="W16" s="40" t="s">
        <v>74</v>
      </c>
      <c r="X16" s="40" t="s">
        <v>76</v>
      </c>
    </row>
    <row r="17" spans="1:24" s="7" customFormat="1" ht="18" customHeight="1" x14ac:dyDescent="0.4">
      <c r="A17" s="8">
        <v>15</v>
      </c>
      <c r="B17" s="5" t="s">
        <v>30</v>
      </c>
      <c r="C17" s="12" t="s">
        <v>32</v>
      </c>
      <c r="D17" s="9" t="s">
        <v>18</v>
      </c>
      <c r="E17" s="87" t="s">
        <v>107</v>
      </c>
      <c r="F17" s="87">
        <v>1</v>
      </c>
      <c r="G17" s="29">
        <v>1967</v>
      </c>
      <c r="H17" s="60">
        <v>0.5</v>
      </c>
      <c r="I17" s="65">
        <v>0.05</v>
      </c>
      <c r="J17" s="68">
        <v>936.67</v>
      </c>
      <c r="K17" s="68">
        <f>+I17*J17</f>
        <v>46.833500000000001</v>
      </c>
      <c r="L17" s="68">
        <f t="shared" si="0"/>
        <v>983.50349999999992</v>
      </c>
      <c r="M17" s="6">
        <v>1377</v>
      </c>
      <c r="N17" s="6">
        <v>1377</v>
      </c>
      <c r="O17" s="58">
        <v>0.05</v>
      </c>
      <c r="P17" s="51">
        <f t="shared" si="1"/>
        <v>1311.4285714285709</v>
      </c>
      <c r="Q17" s="51">
        <f t="shared" si="2"/>
        <v>65.571428571428541</v>
      </c>
      <c r="R17" s="51">
        <f t="shared" si="3"/>
        <v>1376.9999999999993</v>
      </c>
      <c r="S17" s="10" t="s">
        <v>19</v>
      </c>
      <c r="T17" s="10" t="s">
        <v>7</v>
      </c>
      <c r="U17" s="11" t="s">
        <v>8</v>
      </c>
      <c r="V17" s="36" t="s">
        <v>54</v>
      </c>
      <c r="W17" s="40" t="s">
        <v>74</v>
      </c>
      <c r="X17" s="40" t="s">
        <v>76</v>
      </c>
    </row>
    <row r="18" spans="1:24" s="7" customFormat="1" ht="18" customHeight="1" x14ac:dyDescent="0.4">
      <c r="A18" s="8">
        <v>16</v>
      </c>
      <c r="B18" s="5" t="s">
        <v>30</v>
      </c>
      <c r="C18" s="14" t="s">
        <v>34</v>
      </c>
      <c r="D18" s="9" t="s">
        <v>41</v>
      </c>
      <c r="E18" s="87" t="s">
        <v>107</v>
      </c>
      <c r="F18" s="87">
        <v>1</v>
      </c>
      <c r="G18" s="29">
        <v>4500</v>
      </c>
      <c r="H18" s="60">
        <v>0.5</v>
      </c>
      <c r="I18" s="65">
        <v>0.18</v>
      </c>
      <c r="J18" s="68">
        <v>1906.78</v>
      </c>
      <c r="K18" s="68">
        <f>+J18*I18</f>
        <v>343.22039999999998</v>
      </c>
      <c r="L18" s="68">
        <f t="shared" si="0"/>
        <v>2250.0003999999999</v>
      </c>
      <c r="M18" s="6">
        <v>3150</v>
      </c>
      <c r="N18" s="6">
        <v>3150</v>
      </c>
      <c r="O18" s="58">
        <v>0.18</v>
      </c>
      <c r="P18" s="51">
        <f t="shared" ref="P18:P24" si="4">+N18*0.847457627118644</f>
        <v>2669.4915254237285</v>
      </c>
      <c r="Q18" s="51">
        <f t="shared" ref="Q18:Q24" si="5">+P18*18%</f>
        <v>480.50847457627111</v>
      </c>
      <c r="R18" s="51">
        <f t="shared" si="3"/>
        <v>3149.9999999999995</v>
      </c>
      <c r="S18" s="9" t="s">
        <v>44</v>
      </c>
      <c r="T18" s="10" t="s">
        <v>7</v>
      </c>
      <c r="U18" s="11" t="s">
        <v>8</v>
      </c>
      <c r="V18" s="36" t="s">
        <v>54</v>
      </c>
      <c r="W18" s="40" t="s">
        <v>74</v>
      </c>
      <c r="X18" s="40" t="s">
        <v>76</v>
      </c>
    </row>
    <row r="19" spans="1:24" s="7" customFormat="1" ht="18" customHeight="1" x14ac:dyDescent="0.4">
      <c r="A19" s="8">
        <v>17</v>
      </c>
      <c r="B19" s="5" t="s">
        <v>30</v>
      </c>
      <c r="C19" s="14" t="s">
        <v>34</v>
      </c>
      <c r="D19" s="9" t="s">
        <v>20</v>
      </c>
      <c r="E19" s="87" t="s">
        <v>107</v>
      </c>
      <c r="F19" s="87">
        <v>1</v>
      </c>
      <c r="G19" s="29">
        <v>4500</v>
      </c>
      <c r="H19" s="60">
        <v>0.5</v>
      </c>
      <c r="I19" s="65">
        <v>0.18</v>
      </c>
      <c r="J19" s="68">
        <v>1906.78</v>
      </c>
      <c r="K19" s="68">
        <f>+J19*I19</f>
        <v>343.22039999999998</v>
      </c>
      <c r="L19" s="68">
        <f t="shared" si="0"/>
        <v>2250.0003999999999</v>
      </c>
      <c r="M19" s="6">
        <v>3000</v>
      </c>
      <c r="N19" s="6">
        <v>3000</v>
      </c>
      <c r="O19" s="58">
        <v>0.18</v>
      </c>
      <c r="P19" s="51">
        <f t="shared" si="4"/>
        <v>2542.3728813559319</v>
      </c>
      <c r="Q19" s="51">
        <f t="shared" si="5"/>
        <v>457.62711864406771</v>
      </c>
      <c r="R19" s="51">
        <f t="shared" si="3"/>
        <v>2999.9999999999995</v>
      </c>
      <c r="S19" s="9" t="s">
        <v>22</v>
      </c>
      <c r="T19" s="10" t="s">
        <v>7</v>
      </c>
      <c r="U19" s="11" t="s">
        <v>8</v>
      </c>
      <c r="V19" s="36" t="s">
        <v>54</v>
      </c>
      <c r="W19" s="40" t="s">
        <v>74</v>
      </c>
      <c r="X19" s="40" t="s">
        <v>76</v>
      </c>
    </row>
    <row r="20" spans="1:24" s="7" customFormat="1" ht="18" customHeight="1" x14ac:dyDescent="0.4">
      <c r="A20" s="8">
        <v>18</v>
      </c>
      <c r="B20" s="5" t="s">
        <v>30</v>
      </c>
      <c r="C20" s="14" t="s">
        <v>34</v>
      </c>
      <c r="D20" s="9" t="s">
        <v>16</v>
      </c>
      <c r="E20" s="87" t="s">
        <v>107</v>
      </c>
      <c r="F20" s="87">
        <v>1</v>
      </c>
      <c r="G20" s="29">
        <v>4500</v>
      </c>
      <c r="H20" s="60">
        <v>0.5</v>
      </c>
      <c r="I20" s="65">
        <v>0.18</v>
      </c>
      <c r="J20" s="68">
        <v>1906.78</v>
      </c>
      <c r="K20" s="68">
        <f>+J20*I20</f>
        <v>343.22039999999998</v>
      </c>
      <c r="L20" s="68">
        <f t="shared" si="0"/>
        <v>2250.0003999999999</v>
      </c>
      <c r="M20" s="6">
        <v>2475</v>
      </c>
      <c r="N20" s="6">
        <v>2475</v>
      </c>
      <c r="O20" s="58">
        <v>0.18</v>
      </c>
      <c r="P20" s="51">
        <f t="shared" si="4"/>
        <v>2097.4576271186438</v>
      </c>
      <c r="Q20" s="51">
        <f t="shared" si="5"/>
        <v>377.54237288135585</v>
      </c>
      <c r="R20" s="51">
        <f t="shared" si="3"/>
        <v>2474.9999999999995</v>
      </c>
      <c r="S20" s="9" t="s">
        <v>21</v>
      </c>
      <c r="T20" s="10" t="s">
        <v>7</v>
      </c>
      <c r="U20" s="11" t="s">
        <v>26</v>
      </c>
      <c r="V20" s="36" t="s">
        <v>54</v>
      </c>
      <c r="W20" s="40" t="s">
        <v>74</v>
      </c>
      <c r="X20" s="40" t="s">
        <v>76</v>
      </c>
    </row>
    <row r="21" spans="1:24" s="7" customFormat="1" ht="18" customHeight="1" x14ac:dyDescent="0.4">
      <c r="A21" s="8">
        <v>19</v>
      </c>
      <c r="B21" s="5" t="s">
        <v>30</v>
      </c>
      <c r="C21" s="14" t="s">
        <v>34</v>
      </c>
      <c r="D21" s="9" t="s">
        <v>18</v>
      </c>
      <c r="E21" s="87" t="s">
        <v>107</v>
      </c>
      <c r="F21" s="87">
        <v>1</v>
      </c>
      <c r="G21" s="29">
        <v>4500</v>
      </c>
      <c r="H21" s="60">
        <v>0.5</v>
      </c>
      <c r="I21" s="65">
        <v>0.18</v>
      </c>
      <c r="J21" s="68">
        <v>1906.78</v>
      </c>
      <c r="K21" s="68">
        <f>+J21*I21</f>
        <v>343.22039999999998</v>
      </c>
      <c r="L21" s="68">
        <f t="shared" si="0"/>
        <v>2250.0003999999999</v>
      </c>
      <c r="M21" s="6">
        <v>3000</v>
      </c>
      <c r="N21" s="6">
        <v>3000</v>
      </c>
      <c r="O21" s="58">
        <v>0.18</v>
      </c>
      <c r="P21" s="51">
        <f t="shared" si="4"/>
        <v>2542.3728813559319</v>
      </c>
      <c r="Q21" s="51">
        <f t="shared" si="5"/>
        <v>457.62711864406771</v>
      </c>
      <c r="R21" s="51">
        <f t="shared" si="3"/>
        <v>2999.9999999999995</v>
      </c>
      <c r="S21" s="9" t="s">
        <v>38</v>
      </c>
      <c r="T21" s="10" t="s">
        <v>7</v>
      </c>
      <c r="U21" s="11" t="s">
        <v>26</v>
      </c>
      <c r="V21" s="36" t="s">
        <v>54</v>
      </c>
      <c r="W21" s="40" t="s">
        <v>74</v>
      </c>
      <c r="X21" s="40" t="s">
        <v>76</v>
      </c>
    </row>
    <row r="22" spans="1:24" s="7" customFormat="1" ht="18" customHeight="1" x14ac:dyDescent="0.4">
      <c r="A22" s="8">
        <v>20</v>
      </c>
      <c r="B22" s="5" t="s">
        <v>30</v>
      </c>
      <c r="C22" s="14" t="s">
        <v>39</v>
      </c>
      <c r="D22" s="9" t="s">
        <v>20</v>
      </c>
      <c r="E22" s="87" t="s">
        <v>107</v>
      </c>
      <c r="F22" s="87">
        <v>1</v>
      </c>
      <c r="G22" s="29">
        <v>4590</v>
      </c>
      <c r="H22" s="60">
        <v>0.5</v>
      </c>
      <c r="I22" s="65">
        <v>0.18</v>
      </c>
      <c r="J22" s="68">
        <v>1944.92</v>
      </c>
      <c r="K22" s="68">
        <f>+J22*I22</f>
        <v>350.0856</v>
      </c>
      <c r="L22" s="68">
        <f t="shared" si="0"/>
        <v>2295.0056</v>
      </c>
      <c r="M22" s="6">
        <v>3000</v>
      </c>
      <c r="N22" s="6">
        <v>3000</v>
      </c>
      <c r="O22" s="58">
        <v>0.18</v>
      </c>
      <c r="P22" s="51">
        <f t="shared" si="4"/>
        <v>2542.3728813559319</v>
      </c>
      <c r="Q22" s="51">
        <f t="shared" si="5"/>
        <v>457.62711864406771</v>
      </c>
      <c r="R22" s="51">
        <f t="shared" si="3"/>
        <v>2999.9999999999995</v>
      </c>
      <c r="S22" s="9" t="s">
        <v>40</v>
      </c>
      <c r="T22" s="10" t="s">
        <v>7</v>
      </c>
      <c r="U22" s="11" t="s">
        <v>8</v>
      </c>
      <c r="V22" s="36" t="s">
        <v>54</v>
      </c>
      <c r="W22" s="40" t="s">
        <v>74</v>
      </c>
      <c r="X22" s="40" t="s">
        <v>76</v>
      </c>
    </row>
    <row r="23" spans="1:24" s="7" customFormat="1" ht="18.649999999999999" customHeight="1" x14ac:dyDescent="0.4">
      <c r="A23" s="8">
        <v>21</v>
      </c>
      <c r="B23" s="13" t="s">
        <v>36</v>
      </c>
      <c r="C23" s="178" t="s">
        <v>35</v>
      </c>
      <c r="D23" s="119" t="s">
        <v>20</v>
      </c>
      <c r="E23" s="87" t="s">
        <v>107</v>
      </c>
      <c r="F23" s="87">
        <v>1</v>
      </c>
      <c r="G23" s="29">
        <v>5000</v>
      </c>
      <c r="H23" s="60">
        <v>0.5</v>
      </c>
      <c r="I23" s="65">
        <v>0.18</v>
      </c>
      <c r="J23" s="68">
        <v>2118.65</v>
      </c>
      <c r="K23" s="68">
        <f>+I23*J23</f>
        <v>381.35700000000003</v>
      </c>
      <c r="L23" s="68">
        <f t="shared" si="0"/>
        <v>2500.0070000000001</v>
      </c>
      <c r="M23" s="6">
        <v>3500</v>
      </c>
      <c r="N23" s="6">
        <v>3500</v>
      </c>
      <c r="O23" s="58">
        <v>0.18</v>
      </c>
      <c r="P23" s="51">
        <f t="shared" si="4"/>
        <v>2966.101694915254</v>
      </c>
      <c r="Q23" s="51">
        <f t="shared" si="5"/>
        <v>533.89830508474574</v>
      </c>
      <c r="R23" s="127">
        <f t="shared" si="3"/>
        <v>3500</v>
      </c>
      <c r="S23" s="9" t="s">
        <v>25</v>
      </c>
      <c r="T23" s="10" t="s">
        <v>7</v>
      </c>
      <c r="U23" s="11" t="s">
        <v>8</v>
      </c>
      <c r="V23" s="36" t="s">
        <v>54</v>
      </c>
      <c r="W23" s="40" t="s">
        <v>74</v>
      </c>
      <c r="X23" s="40" t="s">
        <v>76</v>
      </c>
    </row>
    <row r="24" spans="1:24" s="7" customFormat="1" ht="18" customHeight="1" x14ac:dyDescent="0.4">
      <c r="A24" s="8">
        <v>22</v>
      </c>
      <c r="B24" s="13" t="s">
        <v>36</v>
      </c>
      <c r="C24" s="178" t="s">
        <v>35</v>
      </c>
      <c r="D24" s="119" t="s">
        <v>16</v>
      </c>
      <c r="E24" s="87" t="s">
        <v>107</v>
      </c>
      <c r="F24" s="87">
        <v>1</v>
      </c>
      <c r="G24" s="29">
        <v>5000</v>
      </c>
      <c r="H24" s="60">
        <v>0.5</v>
      </c>
      <c r="I24" s="65">
        <v>0.18</v>
      </c>
      <c r="J24" s="68">
        <v>2118.65</v>
      </c>
      <c r="K24" s="68">
        <f>+I24*J24</f>
        <v>381.35700000000003</v>
      </c>
      <c r="L24" s="68">
        <f t="shared" si="0"/>
        <v>2500.0070000000001</v>
      </c>
      <c r="M24" s="6">
        <v>3500</v>
      </c>
      <c r="N24" s="6">
        <v>3500</v>
      </c>
      <c r="O24" s="58">
        <v>0.18</v>
      </c>
      <c r="P24" s="51">
        <f t="shared" si="4"/>
        <v>2966.101694915254</v>
      </c>
      <c r="Q24" s="51">
        <f t="shared" si="5"/>
        <v>533.89830508474574</v>
      </c>
      <c r="R24" s="127">
        <f t="shared" si="3"/>
        <v>3500</v>
      </c>
      <c r="S24" s="9" t="s">
        <v>25</v>
      </c>
      <c r="T24" s="10" t="s">
        <v>7</v>
      </c>
      <c r="U24" s="11" t="s">
        <v>8</v>
      </c>
      <c r="V24" s="36" t="s">
        <v>54</v>
      </c>
      <c r="W24" s="40" t="s">
        <v>74</v>
      </c>
      <c r="X24" s="40" t="s">
        <v>76</v>
      </c>
    </row>
    <row r="25" spans="1:24" s="7" customFormat="1" ht="18" customHeight="1" x14ac:dyDescent="0.4">
      <c r="A25" s="8">
        <v>23</v>
      </c>
      <c r="B25" s="13" t="s">
        <v>36</v>
      </c>
      <c r="C25" s="13" t="s">
        <v>33</v>
      </c>
      <c r="D25" s="9" t="s">
        <v>42</v>
      </c>
      <c r="E25" s="87" t="s">
        <v>107</v>
      </c>
      <c r="F25" s="87">
        <v>1</v>
      </c>
      <c r="G25" s="29">
        <v>9000</v>
      </c>
      <c r="H25" s="60">
        <v>0.5</v>
      </c>
      <c r="I25" s="65">
        <v>0.18</v>
      </c>
      <c r="J25" s="68">
        <v>3813.75</v>
      </c>
      <c r="K25" s="68">
        <f>+I25*J25</f>
        <v>686.47500000000002</v>
      </c>
      <c r="L25" s="68">
        <f t="shared" si="0"/>
        <v>4500.2250000000004</v>
      </c>
      <c r="M25" s="6">
        <v>5850</v>
      </c>
      <c r="N25" s="6">
        <v>5850</v>
      </c>
      <c r="O25" s="58">
        <v>0.18</v>
      </c>
      <c r="P25" s="51">
        <f t="shared" ref="P25" si="6">+N25*0.847457627118644</f>
        <v>4957.6271186440672</v>
      </c>
      <c r="Q25" s="51">
        <f t="shared" ref="Q25" si="7">+P25*18%</f>
        <v>892.37288135593201</v>
      </c>
      <c r="R25" s="51">
        <f t="shared" ref="R25" si="8">+P25+Q25</f>
        <v>5849.9999999999991</v>
      </c>
      <c r="S25" s="10" t="s">
        <v>43</v>
      </c>
      <c r="T25" s="10" t="s">
        <v>10</v>
      </c>
      <c r="U25" s="11"/>
      <c r="V25" s="36"/>
      <c r="W25" s="40"/>
      <c r="X25" s="40"/>
    </row>
    <row r="26" spans="1:24" s="7" customFormat="1" ht="18" customHeight="1" x14ac:dyDescent="0.4">
      <c r="A26" s="8">
        <v>24</v>
      </c>
      <c r="B26" s="13" t="s">
        <v>36</v>
      </c>
      <c r="C26" s="13" t="s">
        <v>33</v>
      </c>
      <c r="D26" s="9" t="s">
        <v>20</v>
      </c>
      <c r="E26" s="87" t="s">
        <v>107</v>
      </c>
      <c r="F26" s="87">
        <v>1</v>
      </c>
      <c r="G26" s="29">
        <v>9000</v>
      </c>
      <c r="H26" s="60">
        <v>0.5</v>
      </c>
      <c r="I26" s="65">
        <v>0.18</v>
      </c>
      <c r="J26" s="68">
        <v>3813.75</v>
      </c>
      <c r="K26" s="68">
        <f>+I26*J26</f>
        <v>686.47500000000002</v>
      </c>
      <c r="L26" s="68">
        <f t="shared" si="0"/>
        <v>4500.2250000000004</v>
      </c>
      <c r="M26" s="6">
        <v>5850</v>
      </c>
      <c r="N26" s="6">
        <v>5850</v>
      </c>
      <c r="O26" s="58">
        <v>0.18</v>
      </c>
      <c r="P26" s="51">
        <f>+N26*0.847457627118644</f>
        <v>4957.6271186440672</v>
      </c>
      <c r="Q26" s="51">
        <f>+P26*18%</f>
        <v>892.37288135593201</v>
      </c>
      <c r="R26" s="51">
        <f t="shared" ref="R26:R39" si="9">+P26+Q26</f>
        <v>5849.9999999999991</v>
      </c>
      <c r="S26" s="10" t="s">
        <v>23</v>
      </c>
      <c r="T26" s="10" t="s">
        <v>7</v>
      </c>
      <c r="U26" s="11" t="s">
        <v>26</v>
      </c>
      <c r="V26" s="36" t="s">
        <v>54</v>
      </c>
      <c r="W26" s="40" t="s">
        <v>74</v>
      </c>
      <c r="X26" s="40" t="s">
        <v>76</v>
      </c>
    </row>
    <row r="27" spans="1:24" s="7" customFormat="1" ht="18" customHeight="1" x14ac:dyDescent="0.4">
      <c r="A27" s="8">
        <v>25</v>
      </c>
      <c r="B27" s="5" t="s">
        <v>30</v>
      </c>
      <c r="C27" s="5" t="s">
        <v>29</v>
      </c>
      <c r="D27" s="9" t="s">
        <v>45</v>
      </c>
      <c r="E27" s="87" t="s">
        <v>107</v>
      </c>
      <c r="F27" s="87">
        <v>1</v>
      </c>
      <c r="G27" s="29">
        <v>2207</v>
      </c>
      <c r="H27" s="60">
        <v>0.5</v>
      </c>
      <c r="I27" s="65">
        <v>0.05</v>
      </c>
      <c r="J27" s="66">
        <v>1050.95</v>
      </c>
      <c r="K27" s="67">
        <f>+J27*I27</f>
        <v>52.547500000000007</v>
      </c>
      <c r="L27" s="67">
        <f t="shared" si="0"/>
        <v>1103.4974999999999</v>
      </c>
      <c r="M27" s="6">
        <v>1435</v>
      </c>
      <c r="N27" s="6">
        <v>1435</v>
      </c>
      <c r="O27" s="58">
        <v>0.05</v>
      </c>
      <c r="P27" s="51">
        <f>+N27*0.952380952380952</f>
        <v>1366.6666666666661</v>
      </c>
      <c r="Q27" s="51">
        <f>+P27*5%</f>
        <v>68.3333333333333</v>
      </c>
      <c r="R27" s="51">
        <f t="shared" si="9"/>
        <v>1434.9999999999993</v>
      </c>
      <c r="S27" s="10" t="s">
        <v>46</v>
      </c>
      <c r="T27" s="10" t="s">
        <v>7</v>
      </c>
      <c r="U27" s="11" t="s">
        <v>8</v>
      </c>
      <c r="V27" s="36" t="s">
        <v>54</v>
      </c>
      <c r="W27" s="40" t="s">
        <v>74</v>
      </c>
      <c r="X27" s="40" t="s">
        <v>76</v>
      </c>
    </row>
    <row r="28" spans="1:24" s="7" customFormat="1" ht="18" customHeight="1" x14ac:dyDescent="0.4">
      <c r="A28" s="8">
        <v>26</v>
      </c>
      <c r="B28" s="5" t="s">
        <v>30</v>
      </c>
      <c r="C28" s="12" t="s">
        <v>31</v>
      </c>
      <c r="D28" s="9" t="s">
        <v>45</v>
      </c>
      <c r="E28" s="87" t="s">
        <v>107</v>
      </c>
      <c r="F28" s="87">
        <v>1</v>
      </c>
      <c r="G28" s="29">
        <v>1967</v>
      </c>
      <c r="H28" s="60">
        <v>0.5</v>
      </c>
      <c r="I28" s="65">
        <v>0.05</v>
      </c>
      <c r="J28" s="68">
        <v>936.67</v>
      </c>
      <c r="K28" s="68">
        <f>+I28*J28</f>
        <v>46.833500000000001</v>
      </c>
      <c r="L28" s="68">
        <f t="shared" si="0"/>
        <v>983.50349999999992</v>
      </c>
      <c r="M28" s="6">
        <v>1279</v>
      </c>
      <c r="N28" s="6">
        <v>1279</v>
      </c>
      <c r="O28" s="58">
        <v>0.05</v>
      </c>
      <c r="P28" s="51">
        <f>+N28*0.952380952380952</f>
        <v>1218.0952380952376</v>
      </c>
      <c r="Q28" s="51">
        <f>+P28*5%</f>
        <v>60.904761904761884</v>
      </c>
      <c r="R28" s="51">
        <f t="shared" si="9"/>
        <v>1278.9999999999995</v>
      </c>
      <c r="S28" s="10" t="s">
        <v>46</v>
      </c>
      <c r="T28" s="10" t="s">
        <v>7</v>
      </c>
      <c r="U28" s="11" t="s">
        <v>8</v>
      </c>
      <c r="V28" s="36" t="s">
        <v>54</v>
      </c>
      <c r="W28" s="40" t="s">
        <v>74</v>
      </c>
      <c r="X28" s="40" t="s">
        <v>76</v>
      </c>
    </row>
    <row r="29" spans="1:24" s="7" customFormat="1" ht="18" customHeight="1" x14ac:dyDescent="0.4">
      <c r="A29" s="8">
        <v>27</v>
      </c>
      <c r="B29" s="5" t="s">
        <v>30</v>
      </c>
      <c r="C29" s="12" t="s">
        <v>32</v>
      </c>
      <c r="D29" s="9" t="s">
        <v>9</v>
      </c>
      <c r="E29" s="87" t="s">
        <v>107</v>
      </c>
      <c r="F29" s="87">
        <v>1</v>
      </c>
      <c r="G29" s="29">
        <v>1967</v>
      </c>
      <c r="H29" s="60">
        <v>0.5</v>
      </c>
      <c r="I29" s="65">
        <v>0.05</v>
      </c>
      <c r="J29" s="68">
        <v>936.67</v>
      </c>
      <c r="K29" s="68">
        <f>+I29*J29</f>
        <v>46.833500000000001</v>
      </c>
      <c r="L29" s="68">
        <f t="shared" si="0"/>
        <v>983.50349999999992</v>
      </c>
      <c r="M29" s="6">
        <v>1546</v>
      </c>
      <c r="N29" s="6">
        <v>1546</v>
      </c>
      <c r="O29" s="58">
        <v>0.05</v>
      </c>
      <c r="P29" s="51">
        <f>+N29*0.952380952380952</f>
        <v>1472.3809523809518</v>
      </c>
      <c r="Q29" s="51">
        <f>+P29*5%</f>
        <v>73.619047619047592</v>
      </c>
      <c r="R29" s="51">
        <f t="shared" si="9"/>
        <v>1545.9999999999995</v>
      </c>
      <c r="S29" s="10" t="s">
        <v>47</v>
      </c>
      <c r="T29" s="10" t="s">
        <v>7</v>
      </c>
      <c r="U29" s="11" t="s">
        <v>8</v>
      </c>
      <c r="V29" s="36" t="s">
        <v>54</v>
      </c>
      <c r="W29" s="40" t="s">
        <v>74</v>
      </c>
      <c r="X29" s="40" t="s">
        <v>76</v>
      </c>
    </row>
    <row r="30" spans="1:24" s="7" customFormat="1" ht="18" customHeight="1" x14ac:dyDescent="0.4">
      <c r="A30" s="8">
        <v>28</v>
      </c>
      <c r="B30" s="5" t="s">
        <v>30</v>
      </c>
      <c r="C30" s="12" t="s">
        <v>32</v>
      </c>
      <c r="D30" s="9" t="s">
        <v>42</v>
      </c>
      <c r="E30" s="87" t="s">
        <v>107</v>
      </c>
      <c r="F30" s="87">
        <v>1</v>
      </c>
      <c r="G30" s="29">
        <v>1967</v>
      </c>
      <c r="H30" s="60">
        <v>0.5</v>
      </c>
      <c r="I30" s="65">
        <v>0.05</v>
      </c>
      <c r="J30" s="68">
        <v>936.67</v>
      </c>
      <c r="K30" s="68">
        <f>+I30*J30</f>
        <v>46.833500000000001</v>
      </c>
      <c r="L30" s="68">
        <f t="shared" si="0"/>
        <v>983.50349999999992</v>
      </c>
      <c r="M30" s="6">
        <v>1279</v>
      </c>
      <c r="N30" s="6">
        <v>1279</v>
      </c>
      <c r="O30" s="58">
        <v>0.05</v>
      </c>
      <c r="P30" s="51">
        <f>+N30*0.952380952380952</f>
        <v>1218.0952380952376</v>
      </c>
      <c r="Q30" s="51">
        <f>+P30*5%</f>
        <v>60.904761904761884</v>
      </c>
      <c r="R30" s="51">
        <f t="shared" si="9"/>
        <v>1278.9999999999995</v>
      </c>
      <c r="S30" s="10" t="s">
        <v>48</v>
      </c>
      <c r="T30" s="10" t="s">
        <v>7</v>
      </c>
      <c r="U30" s="11" t="s">
        <v>13</v>
      </c>
      <c r="V30" s="36" t="s">
        <v>259</v>
      </c>
      <c r="W30" s="36" t="s">
        <v>293</v>
      </c>
      <c r="X30" s="40" t="s">
        <v>183</v>
      </c>
    </row>
    <row r="31" spans="1:24" s="7" customFormat="1" ht="18" customHeight="1" x14ac:dyDescent="0.4">
      <c r="A31" s="8">
        <v>29</v>
      </c>
      <c r="B31" s="5" t="s">
        <v>30</v>
      </c>
      <c r="C31" s="179" t="s">
        <v>31</v>
      </c>
      <c r="D31" s="9" t="s">
        <v>41</v>
      </c>
      <c r="E31" s="87" t="s">
        <v>107</v>
      </c>
      <c r="F31" s="87">
        <v>1</v>
      </c>
      <c r="G31" s="29">
        <v>1967</v>
      </c>
      <c r="H31" s="60">
        <v>0.5</v>
      </c>
      <c r="I31" s="65">
        <v>0.05</v>
      </c>
      <c r="J31" s="68">
        <v>936.67</v>
      </c>
      <c r="K31" s="68">
        <f>+I31*J31</f>
        <v>46.833500000000001</v>
      </c>
      <c r="L31" s="68">
        <f t="shared" si="0"/>
        <v>983.50349999999992</v>
      </c>
      <c r="M31" s="6">
        <v>1377</v>
      </c>
      <c r="N31" s="6">
        <v>1377</v>
      </c>
      <c r="O31" s="58">
        <v>0.05</v>
      </c>
      <c r="P31" s="51">
        <f>+N31*0.952380952380952</f>
        <v>1311.4285714285709</v>
      </c>
      <c r="Q31" s="51">
        <f>+P31*5%</f>
        <v>65.571428571428541</v>
      </c>
      <c r="R31" s="127">
        <f t="shared" si="9"/>
        <v>1376.9999999999993</v>
      </c>
      <c r="S31" s="10" t="s">
        <v>25</v>
      </c>
      <c r="T31" s="10" t="s">
        <v>7</v>
      </c>
      <c r="U31" s="11" t="s">
        <v>8</v>
      </c>
      <c r="V31" s="36" t="s">
        <v>54</v>
      </c>
      <c r="W31" s="40" t="s">
        <v>74</v>
      </c>
      <c r="X31" s="40" t="s">
        <v>76</v>
      </c>
    </row>
    <row r="32" spans="1:24" s="7" customFormat="1" ht="18.649999999999999" customHeight="1" x14ac:dyDescent="0.4">
      <c r="A32" s="8">
        <v>30</v>
      </c>
      <c r="B32" s="13" t="s">
        <v>36</v>
      </c>
      <c r="C32" s="178" t="s">
        <v>35</v>
      </c>
      <c r="D32" s="119" t="s">
        <v>20</v>
      </c>
      <c r="E32" s="87" t="s">
        <v>107</v>
      </c>
      <c r="F32" s="87">
        <v>1</v>
      </c>
      <c r="G32" s="29">
        <v>5000</v>
      </c>
      <c r="H32" s="60">
        <v>0.5</v>
      </c>
      <c r="I32" s="65">
        <v>0.18</v>
      </c>
      <c r="J32" s="68">
        <v>2118.65</v>
      </c>
      <c r="K32" s="68">
        <f>+I32*J32</f>
        <v>381.35700000000003</v>
      </c>
      <c r="L32" s="68">
        <f t="shared" si="0"/>
        <v>2500.0070000000001</v>
      </c>
      <c r="M32" s="6">
        <v>3500</v>
      </c>
      <c r="N32" s="6">
        <v>3500</v>
      </c>
      <c r="O32" s="58">
        <v>0.18</v>
      </c>
      <c r="P32" s="51">
        <f>+N32*0.847457627118644</f>
        <v>2966.101694915254</v>
      </c>
      <c r="Q32" s="51">
        <f>+P32*18%</f>
        <v>533.89830508474574</v>
      </c>
      <c r="R32" s="127">
        <f t="shared" si="9"/>
        <v>3500</v>
      </c>
      <c r="S32" s="10" t="s">
        <v>25</v>
      </c>
      <c r="T32" s="10" t="s">
        <v>7</v>
      </c>
      <c r="U32" s="11" t="s">
        <v>8</v>
      </c>
      <c r="V32" s="36" t="s">
        <v>54</v>
      </c>
      <c r="W32" s="40" t="s">
        <v>74</v>
      </c>
      <c r="X32" s="40" t="s">
        <v>76</v>
      </c>
    </row>
    <row r="33" spans="1:28" s="7" customFormat="1" ht="18.649999999999999" customHeight="1" x14ac:dyDescent="0.4">
      <c r="A33" s="8">
        <v>31</v>
      </c>
      <c r="B33" s="5" t="s">
        <v>30</v>
      </c>
      <c r="C33" s="5" t="s">
        <v>49</v>
      </c>
      <c r="D33" s="9" t="s">
        <v>42</v>
      </c>
      <c r="E33" s="87" t="s">
        <v>107</v>
      </c>
      <c r="F33" s="87">
        <v>1</v>
      </c>
      <c r="G33" s="29">
        <v>2207</v>
      </c>
      <c r="H33" s="60">
        <v>0.5</v>
      </c>
      <c r="I33" s="65">
        <v>0.05</v>
      </c>
      <c r="J33" s="66">
        <v>1050.95</v>
      </c>
      <c r="K33" s="67">
        <f>+J33*I33</f>
        <v>52.547500000000007</v>
      </c>
      <c r="L33" s="67">
        <f t="shared" si="0"/>
        <v>1103.4974999999999</v>
      </c>
      <c r="M33" s="6">
        <v>1600</v>
      </c>
      <c r="N33" s="6">
        <v>1600</v>
      </c>
      <c r="O33" s="58">
        <v>0.05</v>
      </c>
      <c r="P33" s="51">
        <f>+N33*0.952380952380952</f>
        <v>1523.8095238095232</v>
      </c>
      <c r="Q33" s="51">
        <f>+P33*5%</f>
        <v>76.190476190476161</v>
      </c>
      <c r="R33" s="51">
        <f t="shared" si="9"/>
        <v>1599.9999999999993</v>
      </c>
      <c r="S33" s="9" t="s">
        <v>50</v>
      </c>
      <c r="T33" s="10" t="s">
        <v>7</v>
      </c>
      <c r="U33" s="11" t="s">
        <v>8</v>
      </c>
      <c r="V33" s="36" t="s">
        <v>54</v>
      </c>
      <c r="W33" s="40" t="s">
        <v>74</v>
      </c>
      <c r="X33" s="40" t="s">
        <v>76</v>
      </c>
    </row>
    <row r="34" spans="1:28" s="7" customFormat="1" ht="18" customHeight="1" x14ac:dyDescent="0.4">
      <c r="A34" s="8">
        <v>32</v>
      </c>
      <c r="B34" s="5" t="s">
        <v>30</v>
      </c>
      <c r="C34" s="14" t="s">
        <v>34</v>
      </c>
      <c r="D34" s="9" t="s">
        <v>18</v>
      </c>
      <c r="E34" s="87" t="s">
        <v>107</v>
      </c>
      <c r="F34" s="87">
        <v>1</v>
      </c>
      <c r="G34" s="29">
        <v>4500</v>
      </c>
      <c r="H34" s="60">
        <v>0.5</v>
      </c>
      <c r="I34" s="65">
        <v>0.18</v>
      </c>
      <c r="J34" s="68">
        <v>1906.78</v>
      </c>
      <c r="K34" s="68">
        <f>+J34*I34</f>
        <v>343.22039999999998</v>
      </c>
      <c r="L34" s="68">
        <f t="shared" si="0"/>
        <v>2250.0003999999999</v>
      </c>
      <c r="M34" s="6">
        <v>3150</v>
      </c>
      <c r="N34" s="6">
        <v>3150</v>
      </c>
      <c r="O34" s="58">
        <v>0.18</v>
      </c>
      <c r="P34" s="51">
        <f t="shared" ref="P34:P39" si="10">+N34*0.847457627118644</f>
        <v>2669.4915254237285</v>
      </c>
      <c r="Q34" s="51">
        <f t="shared" ref="Q34:Q39" si="11">+P34*18%</f>
        <v>480.50847457627111</v>
      </c>
      <c r="R34" s="51">
        <f t="shared" si="9"/>
        <v>3149.9999999999995</v>
      </c>
      <c r="S34" s="9" t="s">
        <v>51</v>
      </c>
      <c r="T34" s="10" t="s">
        <v>7</v>
      </c>
      <c r="U34" s="11" t="s">
        <v>54</v>
      </c>
      <c r="V34" s="36" t="s">
        <v>54</v>
      </c>
      <c r="W34" s="40" t="s">
        <v>74</v>
      </c>
      <c r="X34" s="40" t="s">
        <v>76</v>
      </c>
    </row>
    <row r="35" spans="1:28" s="7" customFormat="1" ht="18" customHeight="1" x14ac:dyDescent="0.4">
      <c r="A35" s="8">
        <v>33</v>
      </c>
      <c r="B35" s="13" t="s">
        <v>36</v>
      </c>
      <c r="C35" s="14" t="s">
        <v>52</v>
      </c>
      <c r="D35" s="9" t="s">
        <v>20</v>
      </c>
      <c r="E35" s="87" t="s">
        <v>107</v>
      </c>
      <c r="F35" s="87">
        <v>1</v>
      </c>
      <c r="G35" s="29">
        <v>7011</v>
      </c>
      <c r="H35" s="60">
        <v>0.5</v>
      </c>
      <c r="I35" s="65">
        <v>0.18</v>
      </c>
      <c r="J35" s="68">
        <v>2970.77</v>
      </c>
      <c r="K35" s="68">
        <f>+J35*I35</f>
        <v>534.73860000000002</v>
      </c>
      <c r="L35" s="68">
        <f t="shared" ref="L35:L65" si="12">+J35+K35</f>
        <v>3505.5086000000001</v>
      </c>
      <c r="M35" s="6">
        <v>3500</v>
      </c>
      <c r="N35" s="6">
        <v>3500</v>
      </c>
      <c r="O35" s="58">
        <v>0.18</v>
      </c>
      <c r="P35" s="51">
        <f t="shared" si="10"/>
        <v>2966.101694915254</v>
      </c>
      <c r="Q35" s="51">
        <f t="shared" si="11"/>
        <v>533.89830508474574</v>
      </c>
      <c r="R35" s="51">
        <f t="shared" si="9"/>
        <v>3500</v>
      </c>
      <c r="S35" s="9" t="s">
        <v>37</v>
      </c>
      <c r="T35" s="10" t="s">
        <v>7</v>
      </c>
      <c r="U35" s="11" t="s">
        <v>54</v>
      </c>
      <c r="V35" s="36" t="s">
        <v>54</v>
      </c>
      <c r="W35" s="40" t="s">
        <v>74</v>
      </c>
      <c r="X35" s="40" t="s">
        <v>76</v>
      </c>
    </row>
    <row r="36" spans="1:28" s="7" customFormat="1" ht="18" customHeight="1" x14ac:dyDescent="0.4">
      <c r="A36" s="8">
        <v>34</v>
      </c>
      <c r="B36" s="13" t="s">
        <v>36</v>
      </c>
      <c r="C36" s="13" t="s">
        <v>33</v>
      </c>
      <c r="D36" s="9" t="s">
        <v>16</v>
      </c>
      <c r="E36" s="87" t="s">
        <v>107</v>
      </c>
      <c r="F36" s="87">
        <v>1</v>
      </c>
      <c r="G36" s="29">
        <v>9000</v>
      </c>
      <c r="H36" s="60">
        <v>0.5</v>
      </c>
      <c r="I36" s="65">
        <v>0.18</v>
      </c>
      <c r="J36" s="68">
        <v>3813.75</v>
      </c>
      <c r="K36" s="68">
        <f t="shared" ref="K36:K41" si="13">+I36*J36</f>
        <v>686.47500000000002</v>
      </c>
      <c r="L36" s="68">
        <f t="shared" si="12"/>
        <v>4500.2250000000004</v>
      </c>
      <c r="M36" s="6">
        <v>5850</v>
      </c>
      <c r="N36" s="6">
        <v>5850</v>
      </c>
      <c r="O36" s="58">
        <v>0.18</v>
      </c>
      <c r="P36" s="51">
        <f t="shared" si="10"/>
        <v>4957.6271186440672</v>
      </c>
      <c r="Q36" s="51">
        <f t="shared" si="11"/>
        <v>892.37288135593201</v>
      </c>
      <c r="R36" s="51">
        <f t="shared" si="9"/>
        <v>5849.9999999999991</v>
      </c>
      <c r="S36" s="10" t="s">
        <v>53</v>
      </c>
      <c r="T36" s="10" t="s">
        <v>10</v>
      </c>
      <c r="U36" s="11"/>
      <c r="V36" s="36"/>
      <c r="W36" s="40"/>
      <c r="X36" s="40"/>
    </row>
    <row r="37" spans="1:28" s="7" customFormat="1" ht="18" customHeight="1" x14ac:dyDescent="0.4">
      <c r="A37" s="8">
        <v>35</v>
      </c>
      <c r="B37" s="13" t="s">
        <v>36</v>
      </c>
      <c r="C37" s="178" t="s">
        <v>35</v>
      </c>
      <c r="D37" s="119" t="s">
        <v>42</v>
      </c>
      <c r="E37" s="87" t="s">
        <v>107</v>
      </c>
      <c r="F37" s="87">
        <v>1</v>
      </c>
      <c r="G37" s="29">
        <v>5000</v>
      </c>
      <c r="H37" s="60">
        <v>0.5</v>
      </c>
      <c r="I37" s="65">
        <v>0.18</v>
      </c>
      <c r="J37" s="68">
        <v>2118.65</v>
      </c>
      <c r="K37" s="68">
        <f t="shared" si="13"/>
        <v>381.35700000000003</v>
      </c>
      <c r="L37" s="68">
        <f t="shared" si="12"/>
        <v>2500.0070000000001</v>
      </c>
      <c r="M37" s="6">
        <v>3500</v>
      </c>
      <c r="N37" s="6">
        <v>3500</v>
      </c>
      <c r="O37" s="58">
        <v>0.18</v>
      </c>
      <c r="P37" s="51">
        <f t="shared" si="10"/>
        <v>2966.101694915254</v>
      </c>
      <c r="Q37" s="51">
        <f t="shared" si="11"/>
        <v>533.89830508474574</v>
      </c>
      <c r="R37" s="127">
        <f t="shared" si="9"/>
        <v>3500</v>
      </c>
      <c r="S37" s="9" t="s">
        <v>25</v>
      </c>
      <c r="T37" s="10" t="s">
        <v>7</v>
      </c>
      <c r="U37" s="11" t="s">
        <v>8</v>
      </c>
      <c r="V37" s="36" t="s">
        <v>54</v>
      </c>
      <c r="W37" s="40" t="s">
        <v>74</v>
      </c>
      <c r="X37" s="40" t="s">
        <v>76</v>
      </c>
    </row>
    <row r="38" spans="1:28" s="7" customFormat="1" ht="18" customHeight="1" x14ac:dyDescent="0.4">
      <c r="A38" s="8">
        <v>36</v>
      </c>
      <c r="B38" s="13" t="s">
        <v>36</v>
      </c>
      <c r="C38" s="178" t="s">
        <v>35</v>
      </c>
      <c r="D38" s="119" t="s">
        <v>16</v>
      </c>
      <c r="E38" s="87" t="s">
        <v>107</v>
      </c>
      <c r="F38" s="87">
        <v>1</v>
      </c>
      <c r="G38" s="29">
        <v>5000</v>
      </c>
      <c r="H38" s="60">
        <v>0.5</v>
      </c>
      <c r="I38" s="65">
        <v>0.18</v>
      </c>
      <c r="J38" s="68">
        <v>2118.65</v>
      </c>
      <c r="K38" s="68">
        <f t="shared" si="13"/>
        <v>381.35700000000003</v>
      </c>
      <c r="L38" s="68">
        <f t="shared" si="12"/>
        <v>2500.0070000000001</v>
      </c>
      <c r="M38" s="6">
        <v>3500</v>
      </c>
      <c r="N38" s="6">
        <v>3500</v>
      </c>
      <c r="O38" s="58">
        <v>0.18</v>
      </c>
      <c r="P38" s="51">
        <f t="shared" si="10"/>
        <v>2966.101694915254</v>
      </c>
      <c r="Q38" s="51">
        <f t="shared" si="11"/>
        <v>533.89830508474574</v>
      </c>
      <c r="R38" s="127">
        <f>+P38+Q38</f>
        <v>3500</v>
      </c>
      <c r="S38" s="9" t="s">
        <v>25</v>
      </c>
      <c r="T38" s="10" t="s">
        <v>7</v>
      </c>
      <c r="U38" s="11" t="s">
        <v>8</v>
      </c>
      <c r="V38" s="36" t="s">
        <v>54</v>
      </c>
      <c r="W38" s="40" t="s">
        <v>74</v>
      </c>
      <c r="X38" s="40" t="s">
        <v>76</v>
      </c>
    </row>
    <row r="39" spans="1:28" s="7" customFormat="1" ht="18" customHeight="1" x14ac:dyDescent="0.4">
      <c r="A39" s="8">
        <v>37</v>
      </c>
      <c r="B39" s="13" t="s">
        <v>36</v>
      </c>
      <c r="C39" s="13" t="s">
        <v>33</v>
      </c>
      <c r="D39" s="9" t="s">
        <v>16</v>
      </c>
      <c r="E39" s="87" t="s">
        <v>107</v>
      </c>
      <c r="F39" s="87">
        <v>1</v>
      </c>
      <c r="G39" s="29">
        <v>9000</v>
      </c>
      <c r="H39" s="60">
        <v>0.5</v>
      </c>
      <c r="I39" s="65">
        <v>0.18</v>
      </c>
      <c r="J39" s="68">
        <v>3813.75</v>
      </c>
      <c r="K39" s="68">
        <f t="shared" si="13"/>
        <v>686.47500000000002</v>
      </c>
      <c r="L39" s="68">
        <f t="shared" si="12"/>
        <v>4500.2250000000004</v>
      </c>
      <c r="M39" s="6">
        <v>5850</v>
      </c>
      <c r="N39" s="6">
        <v>5850</v>
      </c>
      <c r="O39" s="58">
        <v>0.18</v>
      </c>
      <c r="P39" s="51">
        <f t="shared" si="10"/>
        <v>4957.6271186440672</v>
      </c>
      <c r="Q39" s="51">
        <f t="shared" si="11"/>
        <v>892.37288135593201</v>
      </c>
      <c r="R39" s="51">
        <f t="shared" si="9"/>
        <v>5849.9999999999991</v>
      </c>
      <c r="S39" s="10" t="s">
        <v>55</v>
      </c>
      <c r="T39" s="10" t="s">
        <v>10</v>
      </c>
      <c r="U39" s="11"/>
      <c r="V39" s="36"/>
      <c r="W39" s="40"/>
      <c r="X39" s="40"/>
    </row>
    <row r="40" spans="1:28" s="7" customFormat="1" ht="18" customHeight="1" x14ac:dyDescent="0.4">
      <c r="A40" s="8">
        <v>38</v>
      </c>
      <c r="B40" s="5" t="s">
        <v>30</v>
      </c>
      <c r="C40" s="12" t="s">
        <v>32</v>
      </c>
      <c r="D40" s="9" t="s">
        <v>20</v>
      </c>
      <c r="E40" s="87" t="s">
        <v>107</v>
      </c>
      <c r="F40" s="87">
        <v>1</v>
      </c>
      <c r="G40" s="29">
        <v>1967</v>
      </c>
      <c r="H40" s="60">
        <v>0.5</v>
      </c>
      <c r="I40" s="65">
        <v>0.05</v>
      </c>
      <c r="J40" s="68">
        <v>936.67</v>
      </c>
      <c r="K40" s="68">
        <f t="shared" si="13"/>
        <v>46.833500000000001</v>
      </c>
      <c r="L40" s="68">
        <f t="shared" si="12"/>
        <v>983.50349999999992</v>
      </c>
      <c r="M40" s="6">
        <v>1524</v>
      </c>
      <c r="N40" s="6">
        <v>1524</v>
      </c>
      <c r="O40" s="58">
        <v>0.05</v>
      </c>
      <c r="P40" s="51">
        <f t="shared" ref="P40:P46" si="14">+N40*0.952380952380952</f>
        <v>1451.4285714285709</v>
      </c>
      <c r="Q40" s="51">
        <f t="shared" ref="Q40:Q46" si="15">+P40*5%</f>
        <v>72.571428571428541</v>
      </c>
      <c r="R40" s="51">
        <f t="shared" ref="R40:R58" si="16">+P40+Q40</f>
        <v>1523.9999999999993</v>
      </c>
      <c r="S40" s="10" t="s">
        <v>8</v>
      </c>
      <c r="T40" s="10" t="s">
        <v>7</v>
      </c>
      <c r="U40" s="11" t="s">
        <v>8</v>
      </c>
      <c r="V40" s="36" t="s">
        <v>54</v>
      </c>
      <c r="W40" s="40" t="s">
        <v>74</v>
      </c>
      <c r="X40" s="40" t="s">
        <v>76</v>
      </c>
    </row>
    <row r="41" spans="1:28" s="7" customFormat="1" ht="18" customHeight="1" x14ac:dyDescent="0.4">
      <c r="A41" s="8">
        <v>39</v>
      </c>
      <c r="B41" s="53" t="s">
        <v>30</v>
      </c>
      <c r="C41" s="115" t="s">
        <v>31</v>
      </c>
      <c r="D41" s="9" t="s">
        <v>9</v>
      </c>
      <c r="E41" s="87" t="s">
        <v>107</v>
      </c>
      <c r="F41" s="87">
        <v>1</v>
      </c>
      <c r="G41" s="29">
        <v>1967</v>
      </c>
      <c r="H41" s="60">
        <v>0.5</v>
      </c>
      <c r="I41" s="65">
        <v>0.05</v>
      </c>
      <c r="J41" s="68">
        <v>936.67</v>
      </c>
      <c r="K41" s="68">
        <f t="shared" si="13"/>
        <v>46.833500000000001</v>
      </c>
      <c r="L41" s="68">
        <f t="shared" si="12"/>
        <v>983.50349999999992</v>
      </c>
      <c r="M41" s="6">
        <v>1377</v>
      </c>
      <c r="N41" s="6">
        <v>1377</v>
      </c>
      <c r="O41" s="58">
        <v>0.05</v>
      </c>
      <c r="P41" s="51">
        <f t="shared" si="14"/>
        <v>1311.4285714285709</v>
      </c>
      <c r="Q41" s="51">
        <f t="shared" si="15"/>
        <v>65.571428571428541</v>
      </c>
      <c r="R41" s="51">
        <f t="shared" si="16"/>
        <v>1376.9999999999993</v>
      </c>
      <c r="S41" s="9" t="s">
        <v>364</v>
      </c>
      <c r="T41" s="10" t="s">
        <v>7</v>
      </c>
      <c r="U41" s="11" t="s">
        <v>54</v>
      </c>
      <c r="V41" s="36" t="s">
        <v>54</v>
      </c>
      <c r="W41" s="40" t="s">
        <v>103</v>
      </c>
      <c r="X41" s="40" t="s">
        <v>136</v>
      </c>
      <c r="Z41" s="54"/>
      <c r="AA41" s="54"/>
      <c r="AB41" s="54"/>
    </row>
    <row r="42" spans="1:28" s="7" customFormat="1" ht="18" customHeight="1" x14ac:dyDescent="0.4">
      <c r="A42" s="8">
        <v>40</v>
      </c>
      <c r="B42" s="53" t="s">
        <v>30</v>
      </c>
      <c r="C42" s="53" t="s">
        <v>49</v>
      </c>
      <c r="D42" s="9" t="s">
        <v>20</v>
      </c>
      <c r="E42" s="87" t="s">
        <v>107</v>
      </c>
      <c r="F42" s="87">
        <v>1</v>
      </c>
      <c r="G42" s="29">
        <v>2207</v>
      </c>
      <c r="H42" s="60">
        <v>0.5</v>
      </c>
      <c r="I42" s="65">
        <v>0.05</v>
      </c>
      <c r="J42" s="66">
        <v>1050.95</v>
      </c>
      <c r="K42" s="67">
        <f>+J42*I42</f>
        <v>52.547500000000007</v>
      </c>
      <c r="L42" s="67">
        <f t="shared" si="12"/>
        <v>1103.4974999999999</v>
      </c>
      <c r="M42" s="6">
        <v>1545</v>
      </c>
      <c r="N42" s="6">
        <v>1545</v>
      </c>
      <c r="O42" s="58">
        <v>0.05</v>
      </c>
      <c r="P42" s="51">
        <f t="shared" si="14"/>
        <v>1471.4285714285709</v>
      </c>
      <c r="Q42" s="51">
        <f t="shared" si="15"/>
        <v>73.571428571428541</v>
      </c>
      <c r="R42" s="51">
        <f t="shared" si="16"/>
        <v>1544.9999999999993</v>
      </c>
      <c r="S42" s="9" t="s">
        <v>58</v>
      </c>
      <c r="T42" s="10" t="s">
        <v>7</v>
      </c>
      <c r="U42" s="11" t="s">
        <v>54</v>
      </c>
      <c r="V42" s="36" t="s">
        <v>54</v>
      </c>
      <c r="W42" s="40" t="s">
        <v>103</v>
      </c>
      <c r="X42" s="40" t="s">
        <v>136</v>
      </c>
      <c r="Z42" s="54"/>
      <c r="AA42" s="54"/>
      <c r="AB42" s="54"/>
    </row>
    <row r="43" spans="1:28" s="7" customFormat="1" ht="18" customHeight="1" x14ac:dyDescent="0.4">
      <c r="A43" s="8">
        <v>41</v>
      </c>
      <c r="B43" s="53" t="s">
        <v>30</v>
      </c>
      <c r="C43" s="53" t="s">
        <v>49</v>
      </c>
      <c r="D43" s="9" t="s">
        <v>20</v>
      </c>
      <c r="E43" s="87" t="s">
        <v>107</v>
      </c>
      <c r="F43" s="87">
        <v>1</v>
      </c>
      <c r="G43" s="29">
        <v>2207</v>
      </c>
      <c r="H43" s="60">
        <v>0.5</v>
      </c>
      <c r="I43" s="65">
        <v>0.05</v>
      </c>
      <c r="J43" s="66">
        <v>1050.95</v>
      </c>
      <c r="K43" s="67">
        <f>+J43*I43</f>
        <v>52.547500000000007</v>
      </c>
      <c r="L43" s="67">
        <f t="shared" si="12"/>
        <v>1103.4974999999999</v>
      </c>
      <c r="M43" s="6">
        <v>1545</v>
      </c>
      <c r="N43" s="6">
        <v>1545</v>
      </c>
      <c r="O43" s="58">
        <v>0.05</v>
      </c>
      <c r="P43" s="51">
        <f t="shared" si="14"/>
        <v>1471.4285714285709</v>
      </c>
      <c r="Q43" s="51">
        <f t="shared" si="15"/>
        <v>73.571428571428541</v>
      </c>
      <c r="R43" s="51">
        <f t="shared" si="16"/>
        <v>1544.9999999999993</v>
      </c>
      <c r="S43" s="9" t="s">
        <v>59</v>
      </c>
      <c r="T43" s="10" t="s">
        <v>7</v>
      </c>
      <c r="U43" s="11" t="s">
        <v>8</v>
      </c>
      <c r="V43" s="36" t="s">
        <v>54</v>
      </c>
      <c r="W43" s="40" t="s">
        <v>103</v>
      </c>
      <c r="X43" s="40" t="s">
        <v>136</v>
      </c>
      <c r="Z43" s="54"/>
      <c r="AA43" s="54"/>
      <c r="AB43" s="54"/>
    </row>
    <row r="44" spans="1:28" s="7" customFormat="1" ht="18" customHeight="1" x14ac:dyDescent="0.4">
      <c r="A44" s="8">
        <v>42</v>
      </c>
      <c r="B44" s="53" t="s">
        <v>30</v>
      </c>
      <c r="C44" s="14" t="s">
        <v>32</v>
      </c>
      <c r="D44" s="9" t="s">
        <v>41</v>
      </c>
      <c r="E44" s="87" t="s">
        <v>107</v>
      </c>
      <c r="F44" s="87">
        <v>1</v>
      </c>
      <c r="G44" s="29">
        <v>1967</v>
      </c>
      <c r="H44" s="60">
        <v>0.5</v>
      </c>
      <c r="I44" s="65">
        <v>0.05</v>
      </c>
      <c r="J44" s="68">
        <v>936.67</v>
      </c>
      <c r="K44" s="68">
        <f>+I44*J44</f>
        <v>46.833500000000001</v>
      </c>
      <c r="L44" s="68">
        <f t="shared" si="12"/>
        <v>983.50349999999992</v>
      </c>
      <c r="M44" s="6">
        <v>1180</v>
      </c>
      <c r="N44" s="6">
        <v>1180</v>
      </c>
      <c r="O44" s="58">
        <v>0.05</v>
      </c>
      <c r="P44" s="51">
        <f t="shared" si="14"/>
        <v>1123.8095238095234</v>
      </c>
      <c r="Q44" s="51">
        <f t="shared" si="15"/>
        <v>56.190476190476176</v>
      </c>
      <c r="R44" s="51">
        <f t="shared" si="16"/>
        <v>1179.9999999999995</v>
      </c>
      <c r="S44" s="10" t="s">
        <v>61</v>
      </c>
      <c r="T44" s="10" t="s">
        <v>7</v>
      </c>
      <c r="U44" s="11" t="s">
        <v>8</v>
      </c>
      <c r="V44" s="36" t="s">
        <v>54</v>
      </c>
      <c r="W44" s="40" t="s">
        <v>103</v>
      </c>
      <c r="X44" s="40" t="s">
        <v>136</v>
      </c>
      <c r="Z44" s="54"/>
      <c r="AA44" s="54"/>
      <c r="AB44" s="54"/>
    </row>
    <row r="45" spans="1:28" s="7" customFormat="1" ht="18" customHeight="1" x14ac:dyDescent="0.4">
      <c r="A45" s="8">
        <v>43</v>
      </c>
      <c r="B45" s="53" t="s">
        <v>30</v>
      </c>
      <c r="C45" s="14" t="s">
        <v>32</v>
      </c>
      <c r="D45" s="9" t="s">
        <v>41</v>
      </c>
      <c r="E45" s="87" t="s">
        <v>107</v>
      </c>
      <c r="F45" s="87">
        <v>1</v>
      </c>
      <c r="G45" s="29">
        <v>1967</v>
      </c>
      <c r="H45" s="60">
        <v>0.5</v>
      </c>
      <c r="I45" s="65">
        <v>0.05</v>
      </c>
      <c r="J45" s="68">
        <v>936.67</v>
      </c>
      <c r="K45" s="68">
        <f>+I45*J45</f>
        <v>46.833500000000001</v>
      </c>
      <c r="L45" s="68">
        <f t="shared" si="12"/>
        <v>983.50349999999992</v>
      </c>
      <c r="M45" s="6">
        <v>1180</v>
      </c>
      <c r="N45" s="6">
        <v>1180</v>
      </c>
      <c r="O45" s="58">
        <v>0.05</v>
      </c>
      <c r="P45" s="51">
        <f t="shared" si="14"/>
        <v>1123.8095238095234</v>
      </c>
      <c r="Q45" s="51">
        <f t="shared" si="15"/>
        <v>56.190476190476176</v>
      </c>
      <c r="R45" s="51">
        <f t="shared" si="16"/>
        <v>1179.9999999999995</v>
      </c>
      <c r="S45" s="10" t="s">
        <v>62</v>
      </c>
      <c r="T45" s="10" t="s">
        <v>7</v>
      </c>
      <c r="U45" s="11" t="s">
        <v>8</v>
      </c>
      <c r="V45" s="36" t="s">
        <v>54</v>
      </c>
      <c r="W45" s="40" t="s">
        <v>103</v>
      </c>
      <c r="X45" s="40" t="s">
        <v>136</v>
      </c>
      <c r="Z45" s="54"/>
      <c r="AA45" s="54"/>
      <c r="AB45" s="54"/>
    </row>
    <row r="46" spans="1:28" s="7" customFormat="1" ht="18" customHeight="1" x14ac:dyDescent="0.4">
      <c r="A46" s="8">
        <v>44</v>
      </c>
      <c r="B46" s="53" t="s">
        <v>30</v>
      </c>
      <c r="C46" s="14" t="s">
        <v>32</v>
      </c>
      <c r="D46" s="9" t="s">
        <v>4</v>
      </c>
      <c r="E46" s="87" t="s">
        <v>107</v>
      </c>
      <c r="F46" s="87">
        <v>1</v>
      </c>
      <c r="G46" s="29">
        <v>1967</v>
      </c>
      <c r="H46" s="60">
        <v>0.5</v>
      </c>
      <c r="I46" s="65">
        <v>0.05</v>
      </c>
      <c r="J46" s="68">
        <v>936.67</v>
      </c>
      <c r="K46" s="68">
        <f>+I46*J46</f>
        <v>46.833500000000001</v>
      </c>
      <c r="L46" s="68">
        <f t="shared" si="12"/>
        <v>983.50349999999992</v>
      </c>
      <c r="M46" s="6">
        <v>1180</v>
      </c>
      <c r="N46" s="6">
        <v>1180</v>
      </c>
      <c r="O46" s="58">
        <v>0.05</v>
      </c>
      <c r="P46" s="51">
        <f t="shared" si="14"/>
        <v>1123.8095238095234</v>
      </c>
      <c r="Q46" s="51">
        <f t="shared" si="15"/>
        <v>56.190476190476176</v>
      </c>
      <c r="R46" s="51">
        <f t="shared" si="16"/>
        <v>1179.9999999999995</v>
      </c>
      <c r="S46" s="10" t="s">
        <v>63</v>
      </c>
      <c r="T46" s="10" t="s">
        <v>7</v>
      </c>
      <c r="U46" s="11" t="s">
        <v>8</v>
      </c>
      <c r="V46" s="36" t="s">
        <v>54</v>
      </c>
      <c r="W46" s="40" t="s">
        <v>103</v>
      </c>
      <c r="X46" s="40" t="s">
        <v>136</v>
      </c>
      <c r="Z46" s="54"/>
      <c r="AA46" s="54"/>
      <c r="AB46" s="54"/>
    </row>
    <row r="47" spans="1:28" s="32" customFormat="1" ht="18" customHeight="1" x14ac:dyDescent="0.4">
      <c r="A47" s="8">
        <v>45</v>
      </c>
      <c r="B47" s="5" t="s">
        <v>30</v>
      </c>
      <c r="C47" s="14" t="s">
        <v>39</v>
      </c>
      <c r="D47" s="9" t="s">
        <v>42</v>
      </c>
      <c r="E47" s="87" t="s">
        <v>107</v>
      </c>
      <c r="F47" s="87">
        <v>1</v>
      </c>
      <c r="G47" s="29">
        <v>4590</v>
      </c>
      <c r="H47" s="60">
        <v>0.5</v>
      </c>
      <c r="I47" s="65">
        <v>0.18</v>
      </c>
      <c r="J47" s="68">
        <v>1944.92</v>
      </c>
      <c r="K47" s="68">
        <f>+J47*I47</f>
        <v>350.0856</v>
      </c>
      <c r="L47" s="68">
        <f t="shared" si="12"/>
        <v>2295.0056</v>
      </c>
      <c r="M47" s="6">
        <v>2754</v>
      </c>
      <c r="N47" s="6">
        <v>2754</v>
      </c>
      <c r="O47" s="58">
        <v>0.18</v>
      </c>
      <c r="P47" s="51">
        <f>+N47*0.847457627118644</f>
        <v>2333.8983050847455</v>
      </c>
      <c r="Q47" s="51">
        <f>+P47*18%</f>
        <v>420.1016949152542</v>
      </c>
      <c r="R47" s="51">
        <f t="shared" si="16"/>
        <v>2753.9999999999995</v>
      </c>
      <c r="S47" s="9" t="s">
        <v>64</v>
      </c>
      <c r="T47" s="10" t="s">
        <v>7</v>
      </c>
      <c r="U47" s="11" t="s">
        <v>26</v>
      </c>
      <c r="V47" s="37" t="s">
        <v>64</v>
      </c>
      <c r="W47" s="40" t="s">
        <v>75</v>
      </c>
      <c r="X47" s="41" t="s">
        <v>78</v>
      </c>
    </row>
    <row r="48" spans="1:28" s="32" customFormat="1" ht="18" customHeight="1" x14ac:dyDescent="0.4">
      <c r="A48" s="8">
        <v>46</v>
      </c>
      <c r="B48" s="5" t="s">
        <v>30</v>
      </c>
      <c r="C48" s="14" t="s">
        <v>39</v>
      </c>
      <c r="D48" s="9" t="s">
        <v>41</v>
      </c>
      <c r="E48" s="87" t="s">
        <v>107</v>
      </c>
      <c r="F48" s="87">
        <v>1</v>
      </c>
      <c r="G48" s="29">
        <v>4590</v>
      </c>
      <c r="H48" s="60">
        <v>0.5</v>
      </c>
      <c r="I48" s="65">
        <v>0.18</v>
      </c>
      <c r="J48" s="68">
        <v>1944.92</v>
      </c>
      <c r="K48" s="68">
        <f>+J48*I48</f>
        <v>350.0856</v>
      </c>
      <c r="L48" s="68">
        <f t="shared" si="12"/>
        <v>2295.0056</v>
      </c>
      <c r="M48" s="6">
        <v>2754</v>
      </c>
      <c r="N48" s="6">
        <v>2754</v>
      </c>
      <c r="O48" s="58">
        <v>0.18</v>
      </c>
      <c r="P48" s="51">
        <f>+N48*0.847457627118644</f>
        <v>2333.8983050847455</v>
      </c>
      <c r="Q48" s="51">
        <f>+P48*18%</f>
        <v>420.1016949152542</v>
      </c>
      <c r="R48" s="51">
        <f t="shared" si="16"/>
        <v>2753.9999999999995</v>
      </c>
      <c r="S48" s="9" t="s">
        <v>65</v>
      </c>
      <c r="T48" s="10" t="s">
        <v>7</v>
      </c>
      <c r="U48" s="11" t="s">
        <v>26</v>
      </c>
      <c r="V48" s="37" t="s">
        <v>64</v>
      </c>
      <c r="W48" s="40" t="s">
        <v>75</v>
      </c>
      <c r="X48" s="41" t="s">
        <v>78</v>
      </c>
    </row>
    <row r="49" spans="1:28" s="32" customFormat="1" ht="18" customHeight="1" x14ac:dyDescent="0.4">
      <c r="A49" s="8">
        <v>47</v>
      </c>
      <c r="B49" s="5" t="s">
        <v>30</v>
      </c>
      <c r="C49" s="14" t="s">
        <v>39</v>
      </c>
      <c r="D49" s="9" t="s">
        <v>18</v>
      </c>
      <c r="E49" s="87" t="s">
        <v>107</v>
      </c>
      <c r="F49" s="87">
        <v>1</v>
      </c>
      <c r="G49" s="29">
        <v>4590</v>
      </c>
      <c r="H49" s="60">
        <v>0.5</v>
      </c>
      <c r="I49" s="65">
        <v>0.18</v>
      </c>
      <c r="J49" s="68">
        <v>1944.92</v>
      </c>
      <c r="K49" s="68">
        <f>+J49*I49</f>
        <v>350.0856</v>
      </c>
      <c r="L49" s="68">
        <f t="shared" si="12"/>
        <v>2295.0056</v>
      </c>
      <c r="M49" s="6">
        <v>2754</v>
      </c>
      <c r="N49" s="6">
        <v>2754</v>
      </c>
      <c r="O49" s="58">
        <v>0.18</v>
      </c>
      <c r="P49" s="51">
        <f>+N49*0.847457627118644</f>
        <v>2333.8983050847455</v>
      </c>
      <c r="Q49" s="51">
        <f>+P49*18%</f>
        <v>420.1016949152542</v>
      </c>
      <c r="R49" s="51">
        <f t="shared" si="16"/>
        <v>2753.9999999999995</v>
      </c>
      <c r="S49" s="9" t="s">
        <v>66</v>
      </c>
      <c r="T49" s="10" t="s">
        <v>7</v>
      </c>
      <c r="U49" s="11" t="s">
        <v>26</v>
      </c>
      <c r="V49" s="37" t="s">
        <v>64</v>
      </c>
      <c r="W49" s="40" t="s">
        <v>75</v>
      </c>
      <c r="X49" s="41" t="s">
        <v>78</v>
      </c>
    </row>
    <row r="50" spans="1:28" s="32" customFormat="1" ht="18" customHeight="1" x14ac:dyDescent="0.4">
      <c r="A50" s="8">
        <v>48</v>
      </c>
      <c r="B50" s="5" t="s">
        <v>30</v>
      </c>
      <c r="C50" s="5" t="s">
        <v>49</v>
      </c>
      <c r="D50" s="9" t="s">
        <v>18</v>
      </c>
      <c r="E50" s="87" t="s">
        <v>107</v>
      </c>
      <c r="F50" s="87">
        <v>1</v>
      </c>
      <c r="G50" s="29">
        <v>2207</v>
      </c>
      <c r="H50" s="60">
        <v>0.5</v>
      </c>
      <c r="I50" s="65">
        <v>0.05</v>
      </c>
      <c r="J50" s="66">
        <v>1050.95</v>
      </c>
      <c r="K50" s="67">
        <f>+J50*I50</f>
        <v>52.547500000000007</v>
      </c>
      <c r="L50" s="67">
        <f t="shared" si="12"/>
        <v>1103.4974999999999</v>
      </c>
      <c r="M50" s="29">
        <v>1325</v>
      </c>
      <c r="N50" s="29">
        <v>1325</v>
      </c>
      <c r="O50" s="58">
        <v>0.05</v>
      </c>
      <c r="P50" s="51">
        <f t="shared" ref="P50:P55" si="17">+N50*0.952380952380952</f>
        <v>1261.9047619047615</v>
      </c>
      <c r="Q50" s="51">
        <f t="shared" ref="Q50:Q55" si="18">+P50*5%</f>
        <v>63.095238095238074</v>
      </c>
      <c r="R50" s="51">
        <f t="shared" si="16"/>
        <v>1324.9999999999995</v>
      </c>
      <c r="S50" s="9" t="s">
        <v>66</v>
      </c>
      <c r="T50" s="30" t="s">
        <v>7</v>
      </c>
      <c r="U50" s="11" t="s">
        <v>26</v>
      </c>
      <c r="V50" s="37" t="s">
        <v>64</v>
      </c>
      <c r="W50" s="40" t="s">
        <v>75</v>
      </c>
      <c r="X50" s="41" t="s">
        <v>78</v>
      </c>
    </row>
    <row r="51" spans="1:28" s="32" customFormat="1" ht="18" customHeight="1" x14ac:dyDescent="0.4">
      <c r="A51" s="8">
        <v>49</v>
      </c>
      <c r="B51" s="5" t="s">
        <v>30</v>
      </c>
      <c r="C51" s="5" t="s">
        <v>29</v>
      </c>
      <c r="D51" s="9" t="s">
        <v>20</v>
      </c>
      <c r="E51" s="87" t="s">
        <v>107</v>
      </c>
      <c r="F51" s="87">
        <v>1</v>
      </c>
      <c r="G51" s="29">
        <v>2207</v>
      </c>
      <c r="H51" s="60">
        <v>0.5</v>
      </c>
      <c r="I51" s="65">
        <v>0.05</v>
      </c>
      <c r="J51" s="66">
        <v>1050.95</v>
      </c>
      <c r="K51" s="67">
        <f>+J51*I51</f>
        <v>52.547500000000007</v>
      </c>
      <c r="L51" s="67">
        <f t="shared" si="12"/>
        <v>1103.4974999999999</v>
      </c>
      <c r="M51" s="29">
        <v>1325</v>
      </c>
      <c r="N51" s="29">
        <v>1325</v>
      </c>
      <c r="O51" s="58">
        <v>0.05</v>
      </c>
      <c r="P51" s="51">
        <f t="shared" si="17"/>
        <v>1261.9047619047615</v>
      </c>
      <c r="Q51" s="51">
        <f t="shared" si="18"/>
        <v>63.095238095238074</v>
      </c>
      <c r="R51" s="51">
        <f t="shared" si="16"/>
        <v>1324.9999999999995</v>
      </c>
      <c r="S51" s="9" t="s">
        <v>67</v>
      </c>
      <c r="T51" s="30" t="s">
        <v>7</v>
      </c>
      <c r="U51" s="11" t="s">
        <v>26</v>
      </c>
      <c r="V51" s="37" t="s">
        <v>64</v>
      </c>
      <c r="W51" s="40" t="s">
        <v>75</v>
      </c>
      <c r="X51" s="41" t="s">
        <v>78</v>
      </c>
    </row>
    <row r="52" spans="1:28" s="7" customFormat="1" ht="18" customHeight="1" x14ac:dyDescent="0.4">
      <c r="A52" s="8">
        <v>50</v>
      </c>
      <c r="B52" s="53" t="s">
        <v>30</v>
      </c>
      <c r="C52" s="14" t="s">
        <v>32</v>
      </c>
      <c r="D52" s="9" t="s">
        <v>20</v>
      </c>
      <c r="E52" s="87" t="s">
        <v>107</v>
      </c>
      <c r="F52" s="87">
        <v>1</v>
      </c>
      <c r="G52" s="29">
        <v>1967</v>
      </c>
      <c r="H52" s="60">
        <v>0.5</v>
      </c>
      <c r="I52" s="65">
        <v>0.05</v>
      </c>
      <c r="J52" s="68">
        <v>936.67</v>
      </c>
      <c r="K52" s="68">
        <f>+I52*J52</f>
        <v>46.833500000000001</v>
      </c>
      <c r="L52" s="68">
        <f t="shared" si="12"/>
        <v>983.50349999999992</v>
      </c>
      <c r="M52" s="6">
        <v>1475</v>
      </c>
      <c r="N52" s="6">
        <v>1475</v>
      </c>
      <c r="O52" s="58">
        <v>0.05</v>
      </c>
      <c r="P52" s="51">
        <f t="shared" si="17"/>
        <v>1404.7619047619041</v>
      </c>
      <c r="Q52" s="51">
        <f t="shared" si="18"/>
        <v>70.238095238095212</v>
      </c>
      <c r="R52" s="51">
        <f t="shared" si="16"/>
        <v>1474.9999999999993</v>
      </c>
      <c r="S52" s="10" t="s">
        <v>68</v>
      </c>
      <c r="T52" s="10" t="s">
        <v>7</v>
      </c>
      <c r="U52" s="11" t="s">
        <v>54</v>
      </c>
      <c r="V52" s="36" t="s">
        <v>54</v>
      </c>
      <c r="W52" s="40" t="s">
        <v>103</v>
      </c>
      <c r="X52" s="40" t="s">
        <v>136</v>
      </c>
      <c r="Z52" s="54"/>
      <c r="AA52" s="54"/>
      <c r="AB52" s="54"/>
    </row>
    <row r="53" spans="1:28" s="7" customFormat="1" ht="18" customHeight="1" x14ac:dyDescent="0.4">
      <c r="A53" s="8">
        <v>51</v>
      </c>
      <c r="B53" s="53" t="s">
        <v>30</v>
      </c>
      <c r="C53" s="53" t="s">
        <v>29</v>
      </c>
      <c r="D53" s="9" t="s">
        <v>20</v>
      </c>
      <c r="E53" s="87" t="s">
        <v>107</v>
      </c>
      <c r="F53" s="87">
        <v>1</v>
      </c>
      <c r="G53" s="29">
        <v>2207</v>
      </c>
      <c r="H53" s="60">
        <v>0.5</v>
      </c>
      <c r="I53" s="65">
        <v>0.05</v>
      </c>
      <c r="J53" s="66">
        <v>1050.95</v>
      </c>
      <c r="K53" s="67">
        <f>+J53*I53</f>
        <v>52.547500000000007</v>
      </c>
      <c r="L53" s="67">
        <f t="shared" si="12"/>
        <v>1103.4974999999999</v>
      </c>
      <c r="M53" s="6">
        <v>1325</v>
      </c>
      <c r="N53" s="6">
        <v>1325</v>
      </c>
      <c r="O53" s="58">
        <v>0.05</v>
      </c>
      <c r="P53" s="51">
        <f t="shared" si="17"/>
        <v>1261.9047619047615</v>
      </c>
      <c r="Q53" s="51">
        <f t="shared" si="18"/>
        <v>63.095238095238074</v>
      </c>
      <c r="R53" s="51">
        <f t="shared" si="16"/>
        <v>1324.9999999999995</v>
      </c>
      <c r="S53" s="10" t="s">
        <v>68</v>
      </c>
      <c r="T53" s="10" t="s">
        <v>7</v>
      </c>
      <c r="U53" s="11" t="s">
        <v>54</v>
      </c>
      <c r="V53" s="36" t="s">
        <v>54</v>
      </c>
      <c r="W53" s="40" t="s">
        <v>103</v>
      </c>
      <c r="X53" s="40" t="s">
        <v>136</v>
      </c>
      <c r="Z53" s="54"/>
      <c r="AA53" s="54"/>
      <c r="AB53" s="54"/>
    </row>
    <row r="54" spans="1:28" s="7" customFormat="1" ht="18" customHeight="1" x14ac:dyDescent="0.4">
      <c r="A54" s="8">
        <v>52</v>
      </c>
      <c r="B54" s="53" t="s">
        <v>30</v>
      </c>
      <c r="C54" s="115" t="s">
        <v>31</v>
      </c>
      <c r="D54" s="9" t="s">
        <v>20</v>
      </c>
      <c r="E54" s="87" t="s">
        <v>107</v>
      </c>
      <c r="F54" s="87">
        <v>1</v>
      </c>
      <c r="G54" s="29">
        <v>1967</v>
      </c>
      <c r="H54" s="60">
        <v>0.5</v>
      </c>
      <c r="I54" s="65">
        <v>0.05</v>
      </c>
      <c r="J54" s="68">
        <v>936.67</v>
      </c>
      <c r="K54" s="68">
        <f>+I54*J54</f>
        <v>46.833500000000001</v>
      </c>
      <c r="L54" s="68">
        <f t="shared" si="12"/>
        <v>983.50349999999992</v>
      </c>
      <c r="M54" s="6">
        <v>1377</v>
      </c>
      <c r="N54" s="6">
        <v>1377</v>
      </c>
      <c r="O54" s="58">
        <v>0.05</v>
      </c>
      <c r="P54" s="51">
        <f t="shared" si="17"/>
        <v>1311.4285714285709</v>
      </c>
      <c r="Q54" s="51">
        <f t="shared" si="18"/>
        <v>65.571428571428541</v>
      </c>
      <c r="R54" s="51">
        <f t="shared" si="16"/>
        <v>1376.9999999999993</v>
      </c>
      <c r="S54" s="9" t="s">
        <v>364</v>
      </c>
      <c r="T54" s="10" t="s">
        <v>7</v>
      </c>
      <c r="U54" s="11" t="s">
        <v>54</v>
      </c>
      <c r="V54" s="36" t="s">
        <v>54</v>
      </c>
      <c r="W54" s="40" t="s">
        <v>103</v>
      </c>
      <c r="X54" s="40" t="s">
        <v>136</v>
      </c>
      <c r="Z54" s="54"/>
      <c r="AA54" s="54"/>
      <c r="AB54" s="54"/>
    </row>
    <row r="55" spans="1:28" s="7" customFormat="1" ht="18" customHeight="1" x14ac:dyDescent="0.4">
      <c r="A55" s="8">
        <v>53</v>
      </c>
      <c r="B55" s="53" t="s">
        <v>30</v>
      </c>
      <c r="C55" s="53" t="s">
        <v>49</v>
      </c>
      <c r="D55" s="9" t="s">
        <v>20</v>
      </c>
      <c r="E55" s="87" t="s">
        <v>107</v>
      </c>
      <c r="F55" s="87">
        <v>1</v>
      </c>
      <c r="G55" s="29">
        <v>2207</v>
      </c>
      <c r="H55" s="60">
        <v>0.5</v>
      </c>
      <c r="I55" s="65">
        <v>0.05</v>
      </c>
      <c r="J55" s="66">
        <v>1050.95</v>
      </c>
      <c r="K55" s="67">
        <f t="shared" ref="K55:K60" si="19">+J55*I55</f>
        <v>52.547500000000007</v>
      </c>
      <c r="L55" s="67">
        <f t="shared" si="12"/>
        <v>1103.4974999999999</v>
      </c>
      <c r="M55" s="6">
        <v>1545</v>
      </c>
      <c r="N55" s="6">
        <v>1545</v>
      </c>
      <c r="O55" s="58">
        <v>0.05</v>
      </c>
      <c r="P55" s="51">
        <f t="shared" si="17"/>
        <v>1471.4285714285709</v>
      </c>
      <c r="Q55" s="51">
        <f t="shared" si="18"/>
        <v>73.571428571428541</v>
      </c>
      <c r="R55" s="51">
        <f t="shared" si="16"/>
        <v>1544.9999999999993</v>
      </c>
      <c r="S55" s="9" t="s">
        <v>69</v>
      </c>
      <c r="T55" s="10" t="s">
        <v>7</v>
      </c>
      <c r="U55" s="11" t="s">
        <v>54</v>
      </c>
      <c r="V55" s="36" t="s">
        <v>54</v>
      </c>
      <c r="W55" s="40" t="s">
        <v>103</v>
      </c>
      <c r="X55" s="40" t="s">
        <v>136</v>
      </c>
      <c r="Z55" s="54"/>
      <c r="AA55" s="54"/>
      <c r="AB55" s="54"/>
    </row>
    <row r="56" spans="1:28" s="7" customFormat="1" ht="18" customHeight="1" x14ac:dyDescent="0.4">
      <c r="A56" s="8">
        <v>54</v>
      </c>
      <c r="B56" s="53" t="s">
        <v>70</v>
      </c>
      <c r="C56" s="53" t="s">
        <v>71</v>
      </c>
      <c r="D56" s="9" t="s">
        <v>41</v>
      </c>
      <c r="E56" s="87" t="s">
        <v>107</v>
      </c>
      <c r="F56" s="87">
        <v>1</v>
      </c>
      <c r="G56" s="29">
        <v>3490</v>
      </c>
      <c r="H56" s="60">
        <v>0.5</v>
      </c>
      <c r="I56" s="65">
        <v>0.18</v>
      </c>
      <c r="J56" s="68">
        <v>1478.82</v>
      </c>
      <c r="K56" s="68">
        <f t="shared" si="19"/>
        <v>266.18759999999997</v>
      </c>
      <c r="L56" s="68">
        <f t="shared" si="12"/>
        <v>1745.0075999999999</v>
      </c>
      <c r="M56" s="6">
        <v>2094</v>
      </c>
      <c r="N56" s="6">
        <v>2094</v>
      </c>
      <c r="O56" s="58">
        <v>0.18</v>
      </c>
      <c r="P56" s="51">
        <f>+N56*0.847457627118644</f>
        <v>1774.5762711864406</v>
      </c>
      <c r="Q56" s="51">
        <f>+P56*18%</f>
        <v>319.42372881355931</v>
      </c>
      <c r="R56" s="51">
        <f t="shared" si="16"/>
        <v>2094</v>
      </c>
      <c r="S56" s="9" t="s">
        <v>72</v>
      </c>
      <c r="T56" s="10" t="s">
        <v>7</v>
      </c>
      <c r="U56" s="11" t="s">
        <v>54</v>
      </c>
      <c r="V56" s="36" t="s">
        <v>54</v>
      </c>
      <c r="W56" s="40" t="s">
        <v>103</v>
      </c>
      <c r="X56" s="40" t="s">
        <v>136</v>
      </c>
      <c r="Z56" s="54"/>
      <c r="AA56" s="54"/>
      <c r="AB56" s="54"/>
    </row>
    <row r="57" spans="1:28" s="7" customFormat="1" ht="18" customHeight="1" x14ac:dyDescent="0.4">
      <c r="A57" s="8">
        <v>55</v>
      </c>
      <c r="B57" s="53" t="s">
        <v>30</v>
      </c>
      <c r="C57" s="53" t="s">
        <v>29</v>
      </c>
      <c r="D57" s="9" t="s">
        <v>41</v>
      </c>
      <c r="E57" s="87" t="s">
        <v>107</v>
      </c>
      <c r="F57" s="87">
        <v>1</v>
      </c>
      <c r="G57" s="29">
        <v>2207</v>
      </c>
      <c r="H57" s="60">
        <v>0.5</v>
      </c>
      <c r="I57" s="65">
        <v>0.05</v>
      </c>
      <c r="J57" s="66">
        <v>1050.95</v>
      </c>
      <c r="K57" s="67">
        <f t="shared" si="19"/>
        <v>52.547500000000007</v>
      </c>
      <c r="L57" s="67">
        <f t="shared" si="12"/>
        <v>1103.4974999999999</v>
      </c>
      <c r="M57" s="6">
        <v>1324</v>
      </c>
      <c r="N57" s="6">
        <v>1324</v>
      </c>
      <c r="O57" s="58">
        <v>0.05</v>
      </c>
      <c r="P57" s="51">
        <f>+N57*0.952380952380952</f>
        <v>1260.9523809523805</v>
      </c>
      <c r="Q57" s="51">
        <f>+P57*5%</f>
        <v>63.04761904761903</v>
      </c>
      <c r="R57" s="51">
        <f t="shared" si="16"/>
        <v>1323.9999999999995</v>
      </c>
      <c r="S57" s="9" t="s">
        <v>72</v>
      </c>
      <c r="T57" s="10" t="s">
        <v>7</v>
      </c>
      <c r="U57" s="11" t="s">
        <v>54</v>
      </c>
      <c r="V57" s="36" t="s">
        <v>54</v>
      </c>
      <c r="W57" s="40" t="s">
        <v>103</v>
      </c>
      <c r="X57" s="40" t="s">
        <v>136</v>
      </c>
      <c r="Z57" s="54"/>
      <c r="AA57" s="54"/>
      <c r="AB57" s="54"/>
    </row>
    <row r="58" spans="1:28" s="7" customFormat="1" ht="18" customHeight="1" x14ac:dyDescent="0.4">
      <c r="A58" s="8">
        <v>56</v>
      </c>
      <c r="B58" s="53" t="s">
        <v>30</v>
      </c>
      <c r="C58" s="53" t="s">
        <v>71</v>
      </c>
      <c r="D58" s="9" t="s">
        <v>16</v>
      </c>
      <c r="E58" s="87" t="s">
        <v>107</v>
      </c>
      <c r="F58" s="87">
        <v>1</v>
      </c>
      <c r="G58" s="29">
        <v>3490</v>
      </c>
      <c r="H58" s="60">
        <v>0.5</v>
      </c>
      <c r="I58" s="65">
        <v>0.18</v>
      </c>
      <c r="J58" s="68">
        <v>1478.82</v>
      </c>
      <c r="K58" s="68">
        <f t="shared" si="19"/>
        <v>266.18759999999997</v>
      </c>
      <c r="L58" s="68">
        <f t="shared" si="12"/>
        <v>1745.0075999999999</v>
      </c>
      <c r="M58" s="6">
        <v>2094</v>
      </c>
      <c r="N58" s="6">
        <v>2094</v>
      </c>
      <c r="O58" s="58">
        <v>0.18</v>
      </c>
      <c r="P58" s="51">
        <f>+N58*0.847457627118644</f>
        <v>1774.5762711864406</v>
      </c>
      <c r="Q58" s="51">
        <f>+P58*18%</f>
        <v>319.42372881355931</v>
      </c>
      <c r="R58" s="51">
        <f t="shared" si="16"/>
        <v>2094</v>
      </c>
      <c r="S58" s="9" t="s">
        <v>72</v>
      </c>
      <c r="T58" s="10" t="s">
        <v>7</v>
      </c>
      <c r="U58" s="11" t="s">
        <v>54</v>
      </c>
      <c r="V58" s="36" t="s">
        <v>54</v>
      </c>
      <c r="W58" s="40" t="s">
        <v>103</v>
      </c>
      <c r="X58" s="40" t="s">
        <v>136</v>
      </c>
      <c r="Z58" s="54"/>
      <c r="AA58" s="54"/>
      <c r="AB58" s="54"/>
    </row>
    <row r="59" spans="1:28" s="32" customFormat="1" ht="18" customHeight="1" x14ac:dyDescent="0.4">
      <c r="A59" s="8">
        <v>57</v>
      </c>
      <c r="B59" s="5" t="s">
        <v>30</v>
      </c>
      <c r="C59" s="5" t="s">
        <v>49</v>
      </c>
      <c r="D59" s="9" t="s">
        <v>41</v>
      </c>
      <c r="E59" s="87" t="s">
        <v>107</v>
      </c>
      <c r="F59" s="87">
        <v>1</v>
      </c>
      <c r="G59" s="29">
        <v>2207</v>
      </c>
      <c r="H59" s="60">
        <v>0.5</v>
      </c>
      <c r="I59" s="65">
        <v>0.05</v>
      </c>
      <c r="J59" s="66">
        <v>1050.95</v>
      </c>
      <c r="K59" s="67">
        <f t="shared" si="19"/>
        <v>52.547500000000007</v>
      </c>
      <c r="L59" s="67">
        <f t="shared" si="12"/>
        <v>1103.4974999999999</v>
      </c>
      <c r="M59" s="29">
        <v>1103.5</v>
      </c>
      <c r="N59" s="29">
        <v>1103.5</v>
      </c>
      <c r="O59" s="58">
        <v>0.05</v>
      </c>
      <c r="P59" s="51">
        <f t="shared" ref="P59:P60" si="20">+N59*0.952380952380952</f>
        <v>1050.9523809523805</v>
      </c>
      <c r="Q59" s="51">
        <f t="shared" ref="Q59:Q60" si="21">+P59*5%</f>
        <v>52.54761904761903</v>
      </c>
      <c r="R59" s="51">
        <f t="shared" ref="R59:R60" si="22">+P59+Q59</f>
        <v>1103.4999999999995</v>
      </c>
      <c r="S59" s="9" t="s">
        <v>101</v>
      </c>
      <c r="T59" s="30" t="s">
        <v>10</v>
      </c>
      <c r="U59" s="11" t="s">
        <v>119</v>
      </c>
      <c r="V59" s="36"/>
      <c r="W59" s="41"/>
      <c r="X59" s="41"/>
    </row>
    <row r="60" spans="1:28" s="32" customFormat="1" ht="18" customHeight="1" x14ac:dyDescent="0.4">
      <c r="A60" s="8">
        <v>58</v>
      </c>
      <c r="B60" s="5" t="s">
        <v>30</v>
      </c>
      <c r="C60" s="5" t="s">
        <v>29</v>
      </c>
      <c r="D60" s="9" t="s">
        <v>41</v>
      </c>
      <c r="E60" s="87" t="s">
        <v>107</v>
      </c>
      <c r="F60" s="87">
        <v>1</v>
      </c>
      <c r="G60" s="29">
        <v>2207</v>
      </c>
      <c r="H60" s="60">
        <v>0.5</v>
      </c>
      <c r="I60" s="65">
        <v>0.05</v>
      </c>
      <c r="J60" s="66">
        <v>1050.95</v>
      </c>
      <c r="K60" s="67">
        <f t="shared" si="19"/>
        <v>52.547500000000007</v>
      </c>
      <c r="L60" s="67">
        <f t="shared" si="12"/>
        <v>1103.4974999999999</v>
      </c>
      <c r="M60" s="29">
        <v>1103.5</v>
      </c>
      <c r="N60" s="29">
        <v>1103.5</v>
      </c>
      <c r="O60" s="58">
        <v>0.05</v>
      </c>
      <c r="P60" s="51">
        <f t="shared" si="20"/>
        <v>1050.9523809523805</v>
      </c>
      <c r="Q60" s="51">
        <f t="shared" si="21"/>
        <v>52.54761904761903</v>
      </c>
      <c r="R60" s="51">
        <f t="shared" si="22"/>
        <v>1103.4999999999995</v>
      </c>
      <c r="S60" s="9" t="s">
        <v>102</v>
      </c>
      <c r="T60" s="30" t="s">
        <v>10</v>
      </c>
      <c r="U60" s="11" t="s">
        <v>119</v>
      </c>
      <c r="V60" s="36"/>
      <c r="W60" s="41"/>
      <c r="X60" s="41"/>
    </row>
    <row r="61" spans="1:28" s="7" customFormat="1" ht="18" customHeight="1" x14ac:dyDescent="0.4">
      <c r="A61" s="8">
        <v>59</v>
      </c>
      <c r="B61" s="13" t="s">
        <v>36</v>
      </c>
      <c r="C61" s="53" t="s">
        <v>81</v>
      </c>
      <c r="D61" s="9" t="s">
        <v>20</v>
      </c>
      <c r="E61" s="87" t="s">
        <v>107</v>
      </c>
      <c r="F61" s="87">
        <v>1</v>
      </c>
      <c r="G61" s="29">
        <v>8010</v>
      </c>
      <c r="H61" s="60">
        <v>0.5</v>
      </c>
      <c r="I61" s="65">
        <v>0.18</v>
      </c>
      <c r="J61" s="68">
        <v>3394.07</v>
      </c>
      <c r="K61" s="68">
        <f>+I61*J61</f>
        <v>610.93259999999998</v>
      </c>
      <c r="L61" s="68">
        <f t="shared" si="12"/>
        <v>4005.0026000000003</v>
      </c>
      <c r="M61" s="6">
        <v>4806</v>
      </c>
      <c r="N61" s="6">
        <v>4806</v>
      </c>
      <c r="O61" s="58">
        <v>0.18</v>
      </c>
      <c r="P61" s="51">
        <f t="shared" ref="P61:P68" si="23">+N61*0.847457627118644</f>
        <v>4072.8813559322034</v>
      </c>
      <c r="Q61" s="51">
        <f t="shared" ref="Q61:Q68" si="24">+P61*18%</f>
        <v>733.11864406779659</v>
      </c>
      <c r="R61" s="51">
        <f>+P61+Q61</f>
        <v>4806</v>
      </c>
      <c r="S61" s="9" t="s">
        <v>83</v>
      </c>
      <c r="T61" s="10" t="s">
        <v>7</v>
      </c>
      <c r="U61" s="11" t="s">
        <v>83</v>
      </c>
      <c r="V61" s="11" t="s">
        <v>83</v>
      </c>
      <c r="W61" s="40" t="s">
        <v>108</v>
      </c>
      <c r="X61" s="56" t="s">
        <v>111</v>
      </c>
    </row>
    <row r="62" spans="1:28" s="7" customFormat="1" ht="18" customHeight="1" x14ac:dyDescent="0.4">
      <c r="A62" s="8">
        <v>60</v>
      </c>
      <c r="B62" s="13" t="s">
        <v>36</v>
      </c>
      <c r="C62" s="53" t="s">
        <v>82</v>
      </c>
      <c r="D62" s="9" t="s">
        <v>16</v>
      </c>
      <c r="E62" s="87" t="s">
        <v>107</v>
      </c>
      <c r="F62" s="87">
        <v>1</v>
      </c>
      <c r="G62" s="29">
        <v>8010</v>
      </c>
      <c r="H62" s="60">
        <v>0.5</v>
      </c>
      <c r="I62" s="65">
        <v>0.18</v>
      </c>
      <c r="J62" s="68">
        <v>3394.07</v>
      </c>
      <c r="K62" s="68">
        <f>+I62*J62</f>
        <v>610.93259999999998</v>
      </c>
      <c r="L62" s="68">
        <f t="shared" si="12"/>
        <v>4005.0026000000003</v>
      </c>
      <c r="M62" s="6">
        <v>4806</v>
      </c>
      <c r="N62" s="6">
        <v>4806</v>
      </c>
      <c r="O62" s="58">
        <v>0.18</v>
      </c>
      <c r="P62" s="51">
        <f t="shared" si="23"/>
        <v>4072.8813559322034</v>
      </c>
      <c r="Q62" s="51">
        <f t="shared" si="24"/>
        <v>733.11864406779659</v>
      </c>
      <c r="R62" s="51">
        <f>+P62+Q62</f>
        <v>4806</v>
      </c>
      <c r="S62" s="9" t="s">
        <v>83</v>
      </c>
      <c r="T62" s="10" t="s">
        <v>7</v>
      </c>
      <c r="U62" s="11" t="s">
        <v>83</v>
      </c>
      <c r="V62" s="11" t="s">
        <v>83</v>
      </c>
      <c r="W62" s="40" t="s">
        <v>108</v>
      </c>
      <c r="X62" s="56" t="s">
        <v>111</v>
      </c>
    </row>
    <row r="63" spans="1:28" s="7" customFormat="1" ht="18" customHeight="1" x14ac:dyDescent="0.4">
      <c r="A63" s="8">
        <v>61</v>
      </c>
      <c r="B63" s="13" t="s">
        <v>36</v>
      </c>
      <c r="C63" s="53" t="s">
        <v>82</v>
      </c>
      <c r="D63" s="9" t="s">
        <v>18</v>
      </c>
      <c r="E63" s="87" t="s">
        <v>107</v>
      </c>
      <c r="F63" s="87">
        <v>1</v>
      </c>
      <c r="G63" s="29">
        <v>8010</v>
      </c>
      <c r="H63" s="60">
        <v>0.5</v>
      </c>
      <c r="I63" s="65">
        <v>0.18</v>
      </c>
      <c r="J63" s="68">
        <v>3394.07</v>
      </c>
      <c r="K63" s="68">
        <f>+I63*J63</f>
        <v>610.93259999999998</v>
      </c>
      <c r="L63" s="68">
        <f t="shared" si="12"/>
        <v>4005.0026000000003</v>
      </c>
      <c r="M63" s="6">
        <v>4806</v>
      </c>
      <c r="N63" s="6">
        <v>4806</v>
      </c>
      <c r="O63" s="58">
        <v>0.18</v>
      </c>
      <c r="P63" s="51">
        <f t="shared" si="23"/>
        <v>4072.8813559322034</v>
      </c>
      <c r="Q63" s="51">
        <f t="shared" si="24"/>
        <v>733.11864406779659</v>
      </c>
      <c r="R63" s="51">
        <f>+P63+Q63</f>
        <v>4806</v>
      </c>
      <c r="S63" s="9" t="s">
        <v>83</v>
      </c>
      <c r="T63" s="10" t="s">
        <v>7</v>
      </c>
      <c r="U63" s="11" t="s">
        <v>83</v>
      </c>
      <c r="V63" s="11" t="s">
        <v>83</v>
      </c>
      <c r="W63" s="40" t="s">
        <v>108</v>
      </c>
      <c r="X63" s="56" t="s">
        <v>111</v>
      </c>
    </row>
    <row r="64" spans="1:28" s="7" customFormat="1" ht="18" customHeight="1" x14ac:dyDescent="0.4">
      <c r="A64" s="8">
        <v>62</v>
      </c>
      <c r="B64" s="13" t="s">
        <v>36</v>
      </c>
      <c r="C64" s="53" t="s">
        <v>90</v>
      </c>
      <c r="D64" s="9" t="s">
        <v>20</v>
      </c>
      <c r="E64" s="87" t="s">
        <v>107</v>
      </c>
      <c r="F64" s="87">
        <v>1</v>
      </c>
      <c r="G64" s="29">
        <v>8010</v>
      </c>
      <c r="H64" s="60">
        <v>0.5</v>
      </c>
      <c r="I64" s="65">
        <v>0.18</v>
      </c>
      <c r="J64" s="68">
        <v>3394.07</v>
      </c>
      <c r="K64" s="68">
        <f>+J64*I64</f>
        <v>610.93259999999998</v>
      </c>
      <c r="L64" s="68">
        <f t="shared" si="12"/>
        <v>4005.0026000000003</v>
      </c>
      <c r="M64" s="6">
        <v>4806</v>
      </c>
      <c r="N64" s="6">
        <v>4806</v>
      </c>
      <c r="O64" s="58">
        <v>0.18</v>
      </c>
      <c r="P64" s="51">
        <f t="shared" si="23"/>
        <v>4072.8813559322034</v>
      </c>
      <c r="Q64" s="51">
        <f t="shared" si="24"/>
        <v>733.11864406779659</v>
      </c>
      <c r="R64" s="51">
        <f>+P64+Q64</f>
        <v>4806</v>
      </c>
      <c r="S64" s="9" t="s">
        <v>83</v>
      </c>
      <c r="T64" s="10" t="s">
        <v>10</v>
      </c>
      <c r="U64" s="11" t="s">
        <v>83</v>
      </c>
      <c r="V64" s="11" t="s">
        <v>83</v>
      </c>
      <c r="W64" s="40" t="s">
        <v>108</v>
      </c>
      <c r="X64" s="56" t="s">
        <v>111</v>
      </c>
    </row>
    <row r="65" spans="1:28" s="7" customFormat="1" ht="18" customHeight="1" x14ac:dyDescent="0.4">
      <c r="A65" s="8">
        <v>63</v>
      </c>
      <c r="B65" s="53" t="s">
        <v>30</v>
      </c>
      <c r="C65" s="14" t="s">
        <v>39</v>
      </c>
      <c r="D65" s="9" t="s">
        <v>16</v>
      </c>
      <c r="E65" s="87" t="s">
        <v>107</v>
      </c>
      <c r="F65" s="87">
        <v>1</v>
      </c>
      <c r="G65" s="29">
        <v>4590</v>
      </c>
      <c r="H65" s="60">
        <v>0.5</v>
      </c>
      <c r="I65" s="65">
        <v>0.18</v>
      </c>
      <c r="J65" s="68">
        <v>1944.92</v>
      </c>
      <c r="K65" s="68">
        <f>+J65*I65</f>
        <v>350.0856</v>
      </c>
      <c r="L65" s="68">
        <f t="shared" si="12"/>
        <v>2295.0056</v>
      </c>
      <c r="M65" s="6">
        <v>2754</v>
      </c>
      <c r="N65" s="6">
        <v>2754</v>
      </c>
      <c r="O65" s="58">
        <v>0.18</v>
      </c>
      <c r="P65" s="51">
        <f t="shared" si="23"/>
        <v>2333.8983050847455</v>
      </c>
      <c r="Q65" s="51">
        <f t="shared" si="24"/>
        <v>420.1016949152542</v>
      </c>
      <c r="R65" s="51">
        <f t="shared" ref="R65:R71" si="25">+P65+Q65</f>
        <v>2753.9999999999995</v>
      </c>
      <c r="S65" s="9" t="s">
        <v>83</v>
      </c>
      <c r="T65" s="10" t="s">
        <v>10</v>
      </c>
      <c r="U65" s="11" t="s">
        <v>83</v>
      </c>
      <c r="V65" s="11" t="s">
        <v>83</v>
      </c>
      <c r="W65" s="40" t="s">
        <v>108</v>
      </c>
      <c r="X65" s="56" t="s">
        <v>111</v>
      </c>
    </row>
    <row r="66" spans="1:28" s="7" customFormat="1" ht="18" customHeight="1" x14ac:dyDescent="0.4">
      <c r="A66" s="8">
        <v>64</v>
      </c>
      <c r="B66" s="53" t="s">
        <v>30</v>
      </c>
      <c r="C66" s="14" t="s">
        <v>34</v>
      </c>
      <c r="D66" s="9" t="s">
        <v>20</v>
      </c>
      <c r="E66" s="87" t="s">
        <v>107</v>
      </c>
      <c r="F66" s="87">
        <v>1</v>
      </c>
      <c r="G66" s="29">
        <v>4500</v>
      </c>
      <c r="H66" s="60">
        <v>0.5</v>
      </c>
      <c r="I66" s="65">
        <v>0.18</v>
      </c>
      <c r="J66" s="68">
        <v>1906.78</v>
      </c>
      <c r="K66" s="68">
        <f>+J66*I66</f>
        <v>343.22039999999998</v>
      </c>
      <c r="L66" s="68">
        <f t="shared" ref="L66:L97" si="26">+J66+K66</f>
        <v>2250.0003999999999</v>
      </c>
      <c r="M66" s="6">
        <v>2700</v>
      </c>
      <c r="N66" s="6">
        <v>2700</v>
      </c>
      <c r="O66" s="58">
        <v>0.18</v>
      </c>
      <c r="P66" s="51">
        <f t="shared" si="23"/>
        <v>2288.1355932203387</v>
      </c>
      <c r="Q66" s="51">
        <f t="shared" si="24"/>
        <v>411.86440677966095</v>
      </c>
      <c r="R66" s="51">
        <f t="shared" si="25"/>
        <v>2699.9999999999995</v>
      </c>
      <c r="S66" s="9" t="s">
        <v>84</v>
      </c>
      <c r="T66" s="10" t="s">
        <v>7</v>
      </c>
      <c r="U66" s="11" t="s">
        <v>54</v>
      </c>
      <c r="V66" s="36" t="s">
        <v>54</v>
      </c>
      <c r="W66" s="40" t="s">
        <v>103</v>
      </c>
      <c r="X66" s="40" t="s">
        <v>136</v>
      </c>
      <c r="Z66" s="54"/>
      <c r="AA66" s="54"/>
      <c r="AB66" s="54"/>
    </row>
    <row r="67" spans="1:28" s="7" customFormat="1" ht="18" customHeight="1" x14ac:dyDescent="0.4">
      <c r="A67" s="8">
        <v>65</v>
      </c>
      <c r="B67" s="53" t="s">
        <v>30</v>
      </c>
      <c r="C67" s="14" t="s">
        <v>34</v>
      </c>
      <c r="D67" s="9" t="s">
        <v>45</v>
      </c>
      <c r="E67" s="87" t="s">
        <v>107</v>
      </c>
      <c r="F67" s="87">
        <v>1</v>
      </c>
      <c r="G67" s="29">
        <v>4500</v>
      </c>
      <c r="H67" s="60">
        <v>0.5</v>
      </c>
      <c r="I67" s="65">
        <v>0.18</v>
      </c>
      <c r="J67" s="68">
        <v>1906.78</v>
      </c>
      <c r="K67" s="68">
        <f>+J67*I67</f>
        <v>343.22039999999998</v>
      </c>
      <c r="L67" s="68">
        <f t="shared" si="26"/>
        <v>2250.0003999999999</v>
      </c>
      <c r="M67" s="6">
        <v>2700</v>
      </c>
      <c r="N67" s="6">
        <v>2700</v>
      </c>
      <c r="O67" s="58">
        <v>0.18</v>
      </c>
      <c r="P67" s="51">
        <f t="shared" si="23"/>
        <v>2288.1355932203387</v>
      </c>
      <c r="Q67" s="51">
        <f t="shared" si="24"/>
        <v>411.86440677966095</v>
      </c>
      <c r="R67" s="51">
        <f t="shared" si="25"/>
        <v>2699.9999999999995</v>
      </c>
      <c r="S67" s="9" t="s">
        <v>85</v>
      </c>
      <c r="T67" s="10" t="s">
        <v>7</v>
      </c>
      <c r="U67" s="11" t="s">
        <v>54</v>
      </c>
      <c r="V67" s="36" t="s">
        <v>54</v>
      </c>
      <c r="W67" s="40" t="s">
        <v>103</v>
      </c>
      <c r="X67" s="40" t="s">
        <v>136</v>
      </c>
      <c r="Z67" s="54"/>
      <c r="AA67" s="54"/>
      <c r="AB67" s="54"/>
    </row>
    <row r="68" spans="1:28" s="7" customFormat="1" ht="18" customHeight="1" x14ac:dyDescent="0.4">
      <c r="A68" s="8">
        <v>66</v>
      </c>
      <c r="B68" s="13" t="s">
        <v>36</v>
      </c>
      <c r="C68" s="13" t="s">
        <v>33</v>
      </c>
      <c r="D68" s="9" t="s">
        <v>20</v>
      </c>
      <c r="E68" s="87" t="s">
        <v>107</v>
      </c>
      <c r="F68" s="87">
        <v>1</v>
      </c>
      <c r="G68" s="29">
        <v>9000</v>
      </c>
      <c r="H68" s="60">
        <v>0.5</v>
      </c>
      <c r="I68" s="65">
        <v>0.18</v>
      </c>
      <c r="J68" s="68">
        <v>3813.75</v>
      </c>
      <c r="K68" s="68">
        <f>+I68*J68</f>
        <v>686.47500000000002</v>
      </c>
      <c r="L68" s="68">
        <f t="shared" si="26"/>
        <v>4500.2250000000004</v>
      </c>
      <c r="M68" s="6">
        <v>5400</v>
      </c>
      <c r="N68" s="6">
        <v>5400</v>
      </c>
      <c r="O68" s="58">
        <v>0.18</v>
      </c>
      <c r="P68" s="51">
        <f t="shared" si="23"/>
        <v>4576.2711864406774</v>
      </c>
      <c r="Q68" s="51">
        <f t="shared" si="24"/>
        <v>823.72881355932191</v>
      </c>
      <c r="R68" s="51">
        <f t="shared" si="25"/>
        <v>5399.9999999999991</v>
      </c>
      <c r="S68" s="9" t="s">
        <v>85</v>
      </c>
      <c r="T68" s="10" t="s">
        <v>7</v>
      </c>
      <c r="U68" s="11" t="s">
        <v>54</v>
      </c>
      <c r="V68" s="36" t="s">
        <v>54</v>
      </c>
      <c r="W68" s="40" t="s">
        <v>103</v>
      </c>
      <c r="X68" s="40" t="s">
        <v>136</v>
      </c>
      <c r="Z68" s="54"/>
      <c r="AA68" s="54"/>
      <c r="AB68" s="54"/>
    </row>
    <row r="69" spans="1:28" s="7" customFormat="1" ht="18" customHeight="1" x14ac:dyDescent="0.4">
      <c r="A69" s="8">
        <v>67</v>
      </c>
      <c r="B69" s="53" t="s">
        <v>30</v>
      </c>
      <c r="C69" s="14" t="s">
        <v>32</v>
      </c>
      <c r="D69" s="9" t="s">
        <v>20</v>
      </c>
      <c r="E69" s="87" t="s">
        <v>107</v>
      </c>
      <c r="F69" s="87">
        <v>1</v>
      </c>
      <c r="G69" s="29">
        <v>1967</v>
      </c>
      <c r="H69" s="60">
        <v>0.5</v>
      </c>
      <c r="I69" s="65">
        <v>0.05</v>
      </c>
      <c r="J69" s="68">
        <v>936.67</v>
      </c>
      <c r="K69" s="68">
        <f>+I69*J69</f>
        <v>46.833500000000001</v>
      </c>
      <c r="L69" s="68">
        <f t="shared" si="26"/>
        <v>983.50349999999992</v>
      </c>
      <c r="M69" s="6">
        <v>1186</v>
      </c>
      <c r="N69" s="6">
        <v>1186</v>
      </c>
      <c r="O69" s="58">
        <v>0.05</v>
      </c>
      <c r="P69" s="51">
        <f>+N69*0.952380952380952</f>
        <v>1129.5238095238092</v>
      </c>
      <c r="Q69" s="51">
        <f>+P69*5%</f>
        <v>56.47619047619046</v>
      </c>
      <c r="R69" s="51">
        <f t="shared" si="25"/>
        <v>1185.9999999999995</v>
      </c>
      <c r="S69" s="9" t="s">
        <v>86</v>
      </c>
      <c r="T69" s="10" t="s">
        <v>7</v>
      </c>
      <c r="U69" s="11" t="s">
        <v>54</v>
      </c>
      <c r="V69" s="36" t="s">
        <v>54</v>
      </c>
      <c r="W69" s="40" t="s">
        <v>103</v>
      </c>
      <c r="X69" s="40" t="s">
        <v>136</v>
      </c>
      <c r="Z69" s="54"/>
      <c r="AA69" s="54"/>
      <c r="AB69" s="54"/>
    </row>
    <row r="70" spans="1:28" s="7" customFormat="1" ht="18" customHeight="1" x14ac:dyDescent="0.4">
      <c r="A70" s="8">
        <v>68</v>
      </c>
      <c r="B70" s="53" t="s">
        <v>30</v>
      </c>
      <c r="C70" s="14" t="s">
        <v>32</v>
      </c>
      <c r="D70" s="9" t="s">
        <v>20</v>
      </c>
      <c r="E70" s="88" t="s">
        <v>116</v>
      </c>
      <c r="F70" s="88">
        <v>1</v>
      </c>
      <c r="G70" s="29">
        <v>1967</v>
      </c>
      <c r="H70" s="60">
        <v>0.52</v>
      </c>
      <c r="I70" s="65">
        <v>0.05</v>
      </c>
      <c r="J70" s="68">
        <v>899.2</v>
      </c>
      <c r="K70" s="68">
        <f t="shared" ref="K70" si="27">+I70*J70</f>
        <v>44.960000000000008</v>
      </c>
      <c r="L70" s="68">
        <f t="shared" si="26"/>
        <v>944.16000000000008</v>
      </c>
      <c r="M70" s="6">
        <v>1186</v>
      </c>
      <c r="N70" s="6">
        <v>1186</v>
      </c>
      <c r="O70" s="58">
        <v>0.05</v>
      </c>
      <c r="P70" s="51">
        <f>+N70*0.952380952380952</f>
        <v>1129.5238095238092</v>
      </c>
      <c r="Q70" s="51">
        <f>+P70*5%</f>
        <v>56.47619047619046</v>
      </c>
      <c r="R70" s="51">
        <f t="shared" si="25"/>
        <v>1185.9999999999995</v>
      </c>
      <c r="S70" s="9" t="s">
        <v>86</v>
      </c>
      <c r="T70" s="10" t="s">
        <v>7</v>
      </c>
      <c r="U70" s="11" t="s">
        <v>54</v>
      </c>
      <c r="V70" s="36" t="s">
        <v>54</v>
      </c>
      <c r="W70" s="40" t="s">
        <v>103</v>
      </c>
      <c r="X70" s="40" t="s">
        <v>136</v>
      </c>
      <c r="Z70" s="54"/>
      <c r="AA70" s="54"/>
      <c r="AB70" s="54"/>
    </row>
    <row r="71" spans="1:28" s="7" customFormat="1" ht="18" customHeight="1" x14ac:dyDescent="0.4">
      <c r="A71" s="8">
        <v>69</v>
      </c>
      <c r="B71" s="13" t="s">
        <v>36</v>
      </c>
      <c r="C71" s="14" t="s">
        <v>35</v>
      </c>
      <c r="D71" s="9" t="s">
        <v>9</v>
      </c>
      <c r="E71" s="87" t="s">
        <v>107</v>
      </c>
      <c r="F71" s="87">
        <v>1</v>
      </c>
      <c r="G71" s="29">
        <v>5000</v>
      </c>
      <c r="H71" s="60">
        <v>0.5</v>
      </c>
      <c r="I71" s="65">
        <v>0.18</v>
      </c>
      <c r="J71" s="68">
        <v>2118.65</v>
      </c>
      <c r="K71" s="68">
        <f>+I71*J71</f>
        <v>381.35700000000003</v>
      </c>
      <c r="L71" s="68">
        <f t="shared" si="26"/>
        <v>2500.0070000000001</v>
      </c>
      <c r="M71" s="6">
        <v>3000</v>
      </c>
      <c r="N71" s="6">
        <v>3000</v>
      </c>
      <c r="O71" s="58">
        <v>0.18</v>
      </c>
      <c r="P71" s="51">
        <f>+N71*0.847457627118644</f>
        <v>2542.3728813559319</v>
      </c>
      <c r="Q71" s="51">
        <f>+P71*18%</f>
        <v>457.62711864406771</v>
      </c>
      <c r="R71" s="51">
        <f t="shared" si="25"/>
        <v>2999.9999999999995</v>
      </c>
      <c r="S71" s="9" t="s">
        <v>86</v>
      </c>
      <c r="T71" s="10" t="s">
        <v>7</v>
      </c>
      <c r="U71" s="11" t="s">
        <v>54</v>
      </c>
      <c r="V71" s="36" t="s">
        <v>54</v>
      </c>
      <c r="W71" s="40" t="s">
        <v>103</v>
      </c>
      <c r="X71" s="40" t="s">
        <v>136</v>
      </c>
      <c r="Z71" s="54"/>
      <c r="AA71" s="54"/>
      <c r="AB71" s="54"/>
    </row>
    <row r="72" spans="1:28" s="32" customFormat="1" ht="18" customHeight="1" x14ac:dyDescent="0.4">
      <c r="A72" s="8">
        <v>70</v>
      </c>
      <c r="B72" s="5" t="s">
        <v>30</v>
      </c>
      <c r="C72" s="12" t="s">
        <v>31</v>
      </c>
      <c r="D72" s="9" t="s">
        <v>20</v>
      </c>
      <c r="E72" s="87" t="s">
        <v>107</v>
      </c>
      <c r="F72" s="87">
        <v>1</v>
      </c>
      <c r="G72" s="29">
        <v>1967</v>
      </c>
      <c r="H72" s="60">
        <v>0.5</v>
      </c>
      <c r="I72" s="65">
        <v>0.05</v>
      </c>
      <c r="J72" s="68">
        <v>936.67</v>
      </c>
      <c r="K72" s="68">
        <f>+I72*J72</f>
        <v>46.833500000000001</v>
      </c>
      <c r="L72" s="68">
        <f t="shared" si="26"/>
        <v>983.50349999999992</v>
      </c>
      <c r="M72" s="6">
        <v>984</v>
      </c>
      <c r="N72" s="6">
        <v>984</v>
      </c>
      <c r="O72" s="58">
        <v>0.05</v>
      </c>
      <c r="P72" s="51">
        <f>+N72*0.952380952380952</f>
        <v>937.14285714285677</v>
      </c>
      <c r="Q72" s="51">
        <f>+P72*5%</f>
        <v>46.85714285714284</v>
      </c>
      <c r="R72" s="51">
        <f t="shared" ref="R72" si="28">+P72+Q72</f>
        <v>983.99999999999966</v>
      </c>
      <c r="S72" s="110" t="s">
        <v>11</v>
      </c>
      <c r="T72" s="111" t="s">
        <v>10</v>
      </c>
      <c r="U72" s="105" t="s">
        <v>89</v>
      </c>
      <c r="V72" s="36" t="s">
        <v>157</v>
      </c>
      <c r="W72" s="40" t="s">
        <v>266</v>
      </c>
      <c r="X72" s="57"/>
    </row>
    <row r="73" spans="1:28" s="7" customFormat="1" ht="18" customHeight="1" x14ac:dyDescent="0.4">
      <c r="A73" s="8">
        <v>71</v>
      </c>
      <c r="B73" s="53" t="s">
        <v>30</v>
      </c>
      <c r="C73" s="53" t="s">
        <v>29</v>
      </c>
      <c r="D73" s="9" t="s">
        <v>20</v>
      </c>
      <c r="E73" s="87" t="s">
        <v>107</v>
      </c>
      <c r="F73" s="87">
        <v>1</v>
      </c>
      <c r="G73" s="29">
        <v>2207</v>
      </c>
      <c r="H73" s="60">
        <v>0.5</v>
      </c>
      <c r="I73" s="65">
        <v>0.05</v>
      </c>
      <c r="J73" s="66">
        <v>1050.95</v>
      </c>
      <c r="K73" s="67">
        <f>+J73*I73</f>
        <v>52.547500000000007</v>
      </c>
      <c r="L73" s="67">
        <f t="shared" si="26"/>
        <v>1103.4974999999999</v>
      </c>
      <c r="M73" s="6">
        <v>1545</v>
      </c>
      <c r="N73" s="6">
        <v>1545</v>
      </c>
      <c r="O73" s="58">
        <v>0.05</v>
      </c>
      <c r="P73" s="51">
        <f>+N73*0.952380952380952</f>
        <v>1471.4285714285709</v>
      </c>
      <c r="Q73" s="51">
        <f>+P73*5%</f>
        <v>73.571428571428541</v>
      </c>
      <c r="R73" s="51">
        <f>+P73+Q73</f>
        <v>1544.9999999999993</v>
      </c>
      <c r="S73" s="9" t="s">
        <v>87</v>
      </c>
      <c r="T73" s="10" t="s">
        <v>7</v>
      </c>
      <c r="U73" s="11" t="s">
        <v>54</v>
      </c>
      <c r="V73" s="36" t="s">
        <v>54</v>
      </c>
      <c r="W73" s="40" t="s">
        <v>103</v>
      </c>
      <c r="X73" s="40" t="s">
        <v>136</v>
      </c>
      <c r="Z73" s="54"/>
      <c r="AA73" s="54"/>
      <c r="AB73" s="54"/>
    </row>
    <row r="74" spans="1:28" s="7" customFormat="1" ht="18" customHeight="1" x14ac:dyDescent="0.4">
      <c r="A74" s="8">
        <v>72</v>
      </c>
      <c r="B74" s="13" t="s">
        <v>36</v>
      </c>
      <c r="C74" s="14" t="s">
        <v>52</v>
      </c>
      <c r="D74" s="9" t="s">
        <v>16</v>
      </c>
      <c r="E74" s="87" t="s">
        <v>107</v>
      </c>
      <c r="F74" s="87">
        <v>1</v>
      </c>
      <c r="G74" s="29">
        <v>7011</v>
      </c>
      <c r="H74" s="60">
        <v>0.5</v>
      </c>
      <c r="I74" s="65">
        <v>0.18</v>
      </c>
      <c r="J74" s="68">
        <v>2970.77</v>
      </c>
      <c r="K74" s="68">
        <f>+J74*I74</f>
        <v>534.73860000000002</v>
      </c>
      <c r="L74" s="68">
        <f t="shared" si="26"/>
        <v>3505.5086000000001</v>
      </c>
      <c r="M74" s="6">
        <v>6300</v>
      </c>
      <c r="N74" s="6">
        <v>6300</v>
      </c>
      <c r="O74" s="58">
        <v>0.18</v>
      </c>
      <c r="P74" s="51">
        <f>+N74*0.847457627118644</f>
        <v>5338.983050847457</v>
      </c>
      <c r="Q74" s="51">
        <f>+P74*18%</f>
        <v>961.01694915254222</v>
      </c>
      <c r="R74" s="51">
        <f>+P74+Q74</f>
        <v>6299.9999999999991</v>
      </c>
      <c r="S74" s="9" t="s">
        <v>47</v>
      </c>
      <c r="T74" s="10" t="s">
        <v>7</v>
      </c>
      <c r="U74" s="11" t="s">
        <v>54</v>
      </c>
      <c r="V74" s="36" t="s">
        <v>54</v>
      </c>
      <c r="W74" s="40" t="s">
        <v>103</v>
      </c>
      <c r="X74" s="40" t="s">
        <v>136</v>
      </c>
      <c r="Z74" s="54"/>
      <c r="AA74" s="54"/>
      <c r="AB74" s="54"/>
    </row>
    <row r="75" spans="1:28" s="32" customFormat="1" ht="18" customHeight="1" x14ac:dyDescent="0.4">
      <c r="A75" s="8">
        <v>73</v>
      </c>
      <c r="B75" s="5" t="s">
        <v>30</v>
      </c>
      <c r="C75" s="5" t="s">
        <v>49</v>
      </c>
      <c r="D75" s="9" t="s">
        <v>20</v>
      </c>
      <c r="E75" s="87" t="s">
        <v>107</v>
      </c>
      <c r="F75" s="87">
        <v>1</v>
      </c>
      <c r="G75" s="29">
        <v>2207</v>
      </c>
      <c r="H75" s="60">
        <v>0.5</v>
      </c>
      <c r="I75" s="65">
        <v>0.05</v>
      </c>
      <c r="J75" s="66">
        <v>1050.95</v>
      </c>
      <c r="K75" s="67">
        <f>+J75*I75</f>
        <v>52.547500000000007</v>
      </c>
      <c r="L75" s="67">
        <f t="shared" si="26"/>
        <v>1103.4974999999999</v>
      </c>
      <c r="M75" s="29">
        <v>1500</v>
      </c>
      <c r="N75" s="29">
        <v>1500</v>
      </c>
      <c r="O75" s="58">
        <v>0.05</v>
      </c>
      <c r="P75" s="51">
        <f>+N75*0.952380952380952</f>
        <v>1428.571428571428</v>
      </c>
      <c r="Q75" s="51">
        <f>+P75*5%</f>
        <v>71.428571428571402</v>
      </c>
      <c r="R75" s="51">
        <f t="shared" ref="R75" si="29">+P75+Q75</f>
        <v>1499.9999999999993</v>
      </c>
      <c r="S75" s="110" t="s">
        <v>88</v>
      </c>
      <c r="T75" s="111" t="s">
        <v>7</v>
      </c>
      <c r="U75" s="105" t="s">
        <v>89</v>
      </c>
      <c r="V75" s="36" t="s">
        <v>157</v>
      </c>
      <c r="W75" s="40" t="s">
        <v>266</v>
      </c>
      <c r="X75" s="57"/>
    </row>
    <row r="76" spans="1:28" s="7" customFormat="1" ht="18" customHeight="1" x14ac:dyDescent="0.4">
      <c r="A76" s="8">
        <v>74</v>
      </c>
      <c r="B76" s="13" t="s">
        <v>36</v>
      </c>
      <c r="C76" s="53" t="s">
        <v>90</v>
      </c>
      <c r="D76" s="9" t="s">
        <v>41</v>
      </c>
      <c r="E76" s="87" t="s">
        <v>107</v>
      </c>
      <c r="F76" s="87">
        <v>1</v>
      </c>
      <c r="G76" s="29">
        <v>8010</v>
      </c>
      <c r="H76" s="60">
        <v>0.5</v>
      </c>
      <c r="I76" s="65">
        <v>0.18</v>
      </c>
      <c r="J76" s="68">
        <v>3394.07</v>
      </c>
      <c r="K76" s="68">
        <f>+J76*I76</f>
        <v>610.93259999999998</v>
      </c>
      <c r="L76" s="68">
        <f t="shared" si="26"/>
        <v>4005.0026000000003</v>
      </c>
      <c r="M76" s="6">
        <v>4806</v>
      </c>
      <c r="N76" s="6">
        <v>4806</v>
      </c>
      <c r="O76" s="58">
        <v>0.18</v>
      </c>
      <c r="P76" s="51">
        <f>+N76*0.847457627118644</f>
        <v>4072.8813559322034</v>
      </c>
      <c r="Q76" s="51">
        <f>+P76*18%</f>
        <v>733.11864406779659</v>
      </c>
      <c r="R76" s="51">
        <f>+P76+Q76</f>
        <v>4806</v>
      </c>
      <c r="S76" s="9" t="s">
        <v>83</v>
      </c>
      <c r="T76" s="10" t="s">
        <v>10</v>
      </c>
      <c r="U76" s="11" t="s">
        <v>83</v>
      </c>
      <c r="V76" s="11" t="s">
        <v>83</v>
      </c>
      <c r="W76" s="40" t="s">
        <v>108</v>
      </c>
      <c r="X76" s="56" t="s">
        <v>111</v>
      </c>
    </row>
    <row r="77" spans="1:28" s="32" customFormat="1" ht="18" customHeight="1" x14ac:dyDescent="0.4">
      <c r="A77" s="8">
        <v>75</v>
      </c>
      <c r="B77" s="5" t="s">
        <v>30</v>
      </c>
      <c r="C77" s="12" t="s">
        <v>31</v>
      </c>
      <c r="D77" s="9" t="s">
        <v>42</v>
      </c>
      <c r="E77" s="87" t="s">
        <v>107</v>
      </c>
      <c r="F77" s="87">
        <v>1</v>
      </c>
      <c r="G77" s="29">
        <v>1967</v>
      </c>
      <c r="H77" s="60">
        <v>0.5</v>
      </c>
      <c r="I77" s="65">
        <v>0.05</v>
      </c>
      <c r="J77" s="68">
        <v>936.67</v>
      </c>
      <c r="K77" s="68">
        <f>+I77*J77</f>
        <v>46.833500000000001</v>
      </c>
      <c r="L77" s="68">
        <f t="shared" si="26"/>
        <v>983.50349999999992</v>
      </c>
      <c r="M77" s="29">
        <v>1180.2</v>
      </c>
      <c r="N77" s="29">
        <v>1180.2</v>
      </c>
      <c r="O77" s="58">
        <v>0.05</v>
      </c>
      <c r="P77" s="51">
        <f>+N77*0.952380952380952</f>
        <v>1123.9999999999995</v>
      </c>
      <c r="Q77" s="51">
        <f>+P77*5%</f>
        <v>56.199999999999982</v>
      </c>
      <c r="R77" s="51">
        <f t="shared" ref="R77" si="30">+P77+Q77</f>
        <v>1180.1999999999996</v>
      </c>
      <c r="S77" s="9" t="s">
        <v>184</v>
      </c>
      <c r="T77" s="10" t="s">
        <v>10</v>
      </c>
      <c r="U77" s="11" t="s">
        <v>184</v>
      </c>
      <c r="V77" s="9" t="s">
        <v>184</v>
      </c>
      <c r="W77" s="41" t="s">
        <v>250</v>
      </c>
      <c r="X77" s="41"/>
    </row>
    <row r="78" spans="1:28" s="104" customFormat="1" ht="18" customHeight="1" x14ac:dyDescent="0.4">
      <c r="A78" s="8">
        <v>76</v>
      </c>
      <c r="B78" s="93" t="s">
        <v>93</v>
      </c>
      <c r="C78" s="94" t="s">
        <v>94</v>
      </c>
      <c r="D78" s="95" t="s">
        <v>16</v>
      </c>
      <c r="E78" s="96" t="s">
        <v>107</v>
      </c>
      <c r="F78" s="96">
        <v>1</v>
      </c>
      <c r="G78" s="97">
        <v>5200</v>
      </c>
      <c r="H78" s="98">
        <v>0.5</v>
      </c>
      <c r="I78" s="98">
        <v>0.18</v>
      </c>
      <c r="J78" s="99">
        <v>2203.39</v>
      </c>
      <c r="K78" s="99">
        <f>+J78*I78</f>
        <v>396.61019999999996</v>
      </c>
      <c r="L78" s="99">
        <f t="shared" si="26"/>
        <v>2600.0001999999999</v>
      </c>
      <c r="M78" s="97">
        <v>3120</v>
      </c>
      <c r="N78" s="97">
        <v>0</v>
      </c>
      <c r="O78" s="100">
        <v>0.18</v>
      </c>
      <c r="P78" s="97">
        <f>+N78*0.847457627118644</f>
        <v>0</v>
      </c>
      <c r="Q78" s="97">
        <f>+P78*18%</f>
        <v>0</v>
      </c>
      <c r="R78" s="97">
        <f>+P78+Q78</f>
        <v>0</v>
      </c>
      <c r="S78" s="95" t="s">
        <v>184</v>
      </c>
      <c r="T78" s="101" t="s">
        <v>10</v>
      </c>
      <c r="U78" s="102" t="s">
        <v>184</v>
      </c>
      <c r="V78" s="95" t="s">
        <v>184</v>
      </c>
      <c r="W78" s="103" t="s">
        <v>250</v>
      </c>
      <c r="X78" s="103" t="s">
        <v>260</v>
      </c>
    </row>
    <row r="79" spans="1:28" s="32" customFormat="1" ht="18" customHeight="1" x14ac:dyDescent="0.4">
      <c r="A79" s="8">
        <v>77</v>
      </c>
      <c r="B79" s="5" t="s">
        <v>30</v>
      </c>
      <c r="C79" s="12" t="s">
        <v>32</v>
      </c>
      <c r="D79" s="9" t="s">
        <v>16</v>
      </c>
      <c r="E79" s="87" t="s">
        <v>107</v>
      </c>
      <c r="F79" s="87">
        <v>1</v>
      </c>
      <c r="G79" s="29">
        <v>1967</v>
      </c>
      <c r="H79" s="60">
        <v>0.5</v>
      </c>
      <c r="I79" s="65">
        <v>0.05</v>
      </c>
      <c r="J79" s="68">
        <v>936.67</v>
      </c>
      <c r="K79" s="68">
        <f>+I79*J79</f>
        <v>46.833500000000001</v>
      </c>
      <c r="L79" s="68">
        <f t="shared" si="26"/>
        <v>983.50349999999992</v>
      </c>
      <c r="M79" s="6">
        <v>1180.2</v>
      </c>
      <c r="N79" s="6">
        <v>1180.2</v>
      </c>
      <c r="O79" s="58">
        <v>0.05</v>
      </c>
      <c r="P79" s="51">
        <f>+N79*0.952380952380952</f>
        <v>1123.9999999999995</v>
      </c>
      <c r="Q79" s="51">
        <f>+P79*5%</f>
        <v>56.199999999999982</v>
      </c>
      <c r="R79" s="51">
        <f t="shared" ref="R79" si="31">+P79+Q79</f>
        <v>1180.1999999999996</v>
      </c>
      <c r="S79" s="9" t="s">
        <v>184</v>
      </c>
      <c r="T79" s="10" t="s">
        <v>10</v>
      </c>
      <c r="U79" s="11" t="s">
        <v>184</v>
      </c>
      <c r="V79" s="9" t="s">
        <v>184</v>
      </c>
      <c r="W79" s="41" t="s">
        <v>250</v>
      </c>
      <c r="X79" s="41"/>
    </row>
    <row r="80" spans="1:28" s="104" customFormat="1" ht="18" customHeight="1" x14ac:dyDescent="0.4">
      <c r="A80" s="8">
        <v>78</v>
      </c>
      <c r="B80" s="93" t="s">
        <v>95</v>
      </c>
      <c r="C80" s="94"/>
      <c r="D80" s="95"/>
      <c r="E80" s="96" t="s">
        <v>116</v>
      </c>
      <c r="F80" s="96">
        <v>1</v>
      </c>
      <c r="G80" s="97">
        <v>1593</v>
      </c>
      <c r="H80" s="98">
        <v>0.52</v>
      </c>
      <c r="I80" s="98">
        <v>0.18</v>
      </c>
      <c r="J80" s="99">
        <v>648</v>
      </c>
      <c r="K80" s="99">
        <f>+J80*I80</f>
        <v>116.64</v>
      </c>
      <c r="L80" s="99">
        <f t="shared" si="26"/>
        <v>764.64</v>
      </c>
      <c r="M80" s="97"/>
      <c r="N80" s="97"/>
      <c r="O80" s="100">
        <v>0.18</v>
      </c>
      <c r="P80" s="97">
        <f>+N80*0.847457627118644</f>
        <v>0</v>
      </c>
      <c r="Q80" s="97">
        <f>+P80*18%</f>
        <v>0</v>
      </c>
      <c r="R80" s="97">
        <f>+P80+Q80</f>
        <v>0</v>
      </c>
      <c r="S80" s="95" t="s">
        <v>184</v>
      </c>
      <c r="T80" s="101" t="s">
        <v>10</v>
      </c>
      <c r="U80" s="102" t="s">
        <v>184</v>
      </c>
      <c r="V80" s="95" t="s">
        <v>184</v>
      </c>
      <c r="W80" s="103" t="s">
        <v>250</v>
      </c>
      <c r="X80" s="103" t="s">
        <v>260</v>
      </c>
    </row>
    <row r="81" spans="1:31" s="7" customFormat="1" ht="18" customHeight="1" x14ac:dyDescent="0.4">
      <c r="A81" s="8">
        <v>79</v>
      </c>
      <c r="B81" s="13" t="s">
        <v>36</v>
      </c>
      <c r="C81" s="13" t="s">
        <v>33</v>
      </c>
      <c r="D81" s="9" t="s">
        <v>45</v>
      </c>
      <c r="E81" s="87" t="s">
        <v>107</v>
      </c>
      <c r="F81" s="87">
        <v>1</v>
      </c>
      <c r="G81" s="29">
        <v>9000</v>
      </c>
      <c r="H81" s="60">
        <v>0.5</v>
      </c>
      <c r="I81" s="65">
        <v>0.18</v>
      </c>
      <c r="J81" s="68">
        <v>3813.75</v>
      </c>
      <c r="K81" s="68">
        <f>+I81*J81</f>
        <v>686.47500000000002</v>
      </c>
      <c r="L81" s="68">
        <f t="shared" si="26"/>
        <v>4500.2250000000004</v>
      </c>
      <c r="M81" s="6">
        <v>5400</v>
      </c>
      <c r="N81" s="6">
        <v>5400</v>
      </c>
      <c r="O81" s="58">
        <v>0.18</v>
      </c>
      <c r="P81" s="51">
        <f>+N81*0.847457627118644</f>
        <v>4576.2711864406774</v>
      </c>
      <c r="Q81" s="51">
        <f>+P81*18%</f>
        <v>823.72881355932191</v>
      </c>
      <c r="R81" s="51">
        <f>+P81+Q81</f>
        <v>5399.9999999999991</v>
      </c>
      <c r="S81" s="9" t="s">
        <v>85</v>
      </c>
      <c r="T81" s="10" t="s">
        <v>7</v>
      </c>
      <c r="U81" s="11" t="s">
        <v>54</v>
      </c>
      <c r="V81" s="36" t="s">
        <v>54</v>
      </c>
      <c r="W81" s="40" t="s">
        <v>103</v>
      </c>
      <c r="X81" s="40" t="s">
        <v>136</v>
      </c>
      <c r="Z81" s="54"/>
      <c r="AA81" s="54"/>
      <c r="AB81" s="54"/>
    </row>
    <row r="82" spans="1:31" s="32" customFormat="1" ht="18" customHeight="1" x14ac:dyDescent="0.4">
      <c r="A82" s="8">
        <v>80</v>
      </c>
      <c r="B82" s="44" t="s">
        <v>96</v>
      </c>
      <c r="C82" s="5" t="s">
        <v>97</v>
      </c>
      <c r="D82" s="9" t="s">
        <v>18</v>
      </c>
      <c r="E82" s="88" t="s">
        <v>116</v>
      </c>
      <c r="F82" s="88">
        <v>1</v>
      </c>
      <c r="G82" s="29">
        <v>3299</v>
      </c>
      <c r="H82" s="60">
        <v>0.52</v>
      </c>
      <c r="I82" s="65">
        <v>0.05</v>
      </c>
      <c r="J82" s="68">
        <v>1423.32</v>
      </c>
      <c r="K82" s="68">
        <f>+J82*I82</f>
        <v>71.165999999999997</v>
      </c>
      <c r="L82" s="68">
        <f t="shared" si="26"/>
        <v>1494.4859999999999</v>
      </c>
      <c r="M82" s="29">
        <v>2309</v>
      </c>
      <c r="N82" s="29">
        <v>2309</v>
      </c>
      <c r="O82" s="71">
        <v>0.05</v>
      </c>
      <c r="P82" s="52">
        <f>+N82*0.952380952380952</f>
        <v>2199.0476190476184</v>
      </c>
      <c r="Q82" s="52">
        <f>+P82*5%</f>
        <v>109.95238095238092</v>
      </c>
      <c r="R82" s="52">
        <f>+P82+Q82</f>
        <v>2308.9999999999991</v>
      </c>
      <c r="S82" s="110" t="s">
        <v>98</v>
      </c>
      <c r="T82" s="111" t="s">
        <v>7</v>
      </c>
      <c r="U82" s="105" t="s">
        <v>89</v>
      </c>
      <c r="V82" s="36" t="s">
        <v>157</v>
      </c>
      <c r="W82" s="40" t="s">
        <v>266</v>
      </c>
      <c r="X82" s="41"/>
    </row>
    <row r="83" spans="1:31" s="32" customFormat="1" ht="18" customHeight="1" x14ac:dyDescent="0.4">
      <c r="A83" s="8">
        <v>81</v>
      </c>
      <c r="B83" s="13" t="s">
        <v>36</v>
      </c>
      <c r="C83" s="13" t="s">
        <v>52</v>
      </c>
      <c r="D83" s="9" t="s">
        <v>20</v>
      </c>
      <c r="E83" s="87" t="s">
        <v>107</v>
      </c>
      <c r="F83" s="87">
        <v>1</v>
      </c>
      <c r="G83" s="29">
        <v>7011</v>
      </c>
      <c r="H83" s="60">
        <v>0.5</v>
      </c>
      <c r="I83" s="65">
        <v>0.18</v>
      </c>
      <c r="J83" s="68">
        <v>2970.77</v>
      </c>
      <c r="K83" s="68">
        <f>+J83*I83</f>
        <v>534.73860000000002</v>
      </c>
      <c r="L83" s="68">
        <f t="shared" si="26"/>
        <v>3505.5086000000001</v>
      </c>
      <c r="M83" s="29">
        <v>3506</v>
      </c>
      <c r="N83" s="29">
        <v>3506</v>
      </c>
      <c r="O83" s="58">
        <v>0.18</v>
      </c>
      <c r="P83" s="51">
        <f>+N83*0.847457627118644</f>
        <v>2971.1864406779659</v>
      </c>
      <c r="Q83" s="51">
        <f>+P83*18%</f>
        <v>534.81355932203383</v>
      </c>
      <c r="R83" s="51">
        <f>+P83+Q83</f>
        <v>3506</v>
      </c>
      <c r="S83" s="112" t="s">
        <v>99</v>
      </c>
      <c r="T83" s="113" t="s">
        <v>10</v>
      </c>
      <c r="U83" s="112" t="s">
        <v>99</v>
      </c>
      <c r="V83" s="114" t="s">
        <v>260</v>
      </c>
      <c r="W83" s="41"/>
      <c r="X83" s="41"/>
    </row>
    <row r="84" spans="1:31" s="7" customFormat="1" ht="18" customHeight="1" x14ac:dyDescent="0.4">
      <c r="A84" s="8">
        <v>82</v>
      </c>
      <c r="B84" s="53" t="s">
        <v>30</v>
      </c>
      <c r="C84" s="53" t="s">
        <v>49</v>
      </c>
      <c r="D84" s="9" t="s">
        <v>20</v>
      </c>
      <c r="E84" s="87" t="s">
        <v>107</v>
      </c>
      <c r="F84" s="87">
        <v>1</v>
      </c>
      <c r="G84" s="29">
        <v>2207</v>
      </c>
      <c r="H84" s="60">
        <v>0.5</v>
      </c>
      <c r="I84" s="65">
        <v>0.05</v>
      </c>
      <c r="J84" s="66">
        <v>1050.95</v>
      </c>
      <c r="K84" s="67">
        <f>+J84*I84</f>
        <v>52.547500000000007</v>
      </c>
      <c r="L84" s="67">
        <f t="shared" si="26"/>
        <v>1103.4974999999999</v>
      </c>
      <c r="M84" s="6">
        <v>1545</v>
      </c>
      <c r="N84" s="6">
        <v>1545</v>
      </c>
      <c r="O84" s="58">
        <v>0.05</v>
      </c>
      <c r="P84" s="51">
        <f>+N84*0.952380952380952</f>
        <v>1471.4285714285709</v>
      </c>
      <c r="Q84" s="51">
        <f>+P84*5%</f>
        <v>73.571428571428541</v>
      </c>
      <c r="R84" s="51">
        <f>+P84+Q84</f>
        <v>1544.9999999999993</v>
      </c>
      <c r="S84" s="9" t="s">
        <v>87</v>
      </c>
      <c r="T84" s="10" t="s">
        <v>7</v>
      </c>
      <c r="U84" s="11" t="s">
        <v>54</v>
      </c>
      <c r="V84" s="36" t="s">
        <v>54</v>
      </c>
      <c r="W84" s="40" t="s">
        <v>103</v>
      </c>
      <c r="X84" s="40" t="s">
        <v>136</v>
      </c>
      <c r="Z84" s="54"/>
      <c r="AA84" s="54"/>
      <c r="AB84" s="54"/>
    </row>
    <row r="85" spans="1:31" s="32" customFormat="1" ht="18" customHeight="1" x14ac:dyDescent="0.4">
      <c r="A85" s="8">
        <v>83</v>
      </c>
      <c r="B85" s="5" t="s">
        <v>30</v>
      </c>
      <c r="C85" s="5" t="s">
        <v>49</v>
      </c>
      <c r="D85" s="9" t="s">
        <v>20</v>
      </c>
      <c r="E85" s="87" t="s">
        <v>107</v>
      </c>
      <c r="F85" s="87">
        <v>1</v>
      </c>
      <c r="G85" s="29">
        <v>2207</v>
      </c>
      <c r="H85" s="60">
        <v>0.5</v>
      </c>
      <c r="I85" s="65">
        <v>0.05</v>
      </c>
      <c r="J85" s="66">
        <v>1050.95</v>
      </c>
      <c r="K85" s="67">
        <f>+J85*I85</f>
        <v>52.547500000000007</v>
      </c>
      <c r="L85" s="67">
        <f t="shared" si="26"/>
        <v>1103.4974999999999</v>
      </c>
      <c r="M85" s="29">
        <v>1500</v>
      </c>
      <c r="N85" s="6">
        <v>1500</v>
      </c>
      <c r="O85" s="58">
        <v>0.05</v>
      </c>
      <c r="P85" s="51">
        <f>+N85*0.952380952380952</f>
        <v>1428.571428571428</v>
      </c>
      <c r="Q85" s="51">
        <f>+P85*5%</f>
        <v>71.428571428571402</v>
      </c>
      <c r="R85" s="51">
        <f t="shared" ref="R85" si="32">+P85+Q85</f>
        <v>1499.9999999999993</v>
      </c>
      <c r="S85" s="9" t="s">
        <v>100</v>
      </c>
      <c r="T85" s="10" t="s">
        <v>7</v>
      </c>
      <c r="U85" s="11"/>
      <c r="V85" s="36" t="s">
        <v>54</v>
      </c>
      <c r="W85" s="41" t="s">
        <v>139</v>
      </c>
      <c r="X85" s="41"/>
    </row>
    <row r="86" spans="1:31" s="7" customFormat="1" ht="18" customHeight="1" x14ac:dyDescent="0.4">
      <c r="A86" s="8">
        <v>84</v>
      </c>
      <c r="B86" s="53" t="s">
        <v>30</v>
      </c>
      <c r="C86" s="53" t="s">
        <v>39</v>
      </c>
      <c r="D86" s="9" t="s">
        <v>16</v>
      </c>
      <c r="E86" s="87" t="s">
        <v>107</v>
      </c>
      <c r="F86" s="87">
        <v>1</v>
      </c>
      <c r="G86" s="29">
        <v>4590</v>
      </c>
      <c r="H86" s="60">
        <v>0.5</v>
      </c>
      <c r="I86" s="65">
        <v>0.18</v>
      </c>
      <c r="J86" s="68">
        <v>1944.92</v>
      </c>
      <c r="K86" s="68">
        <f>+J86*I86</f>
        <v>350.0856</v>
      </c>
      <c r="L86" s="68">
        <f t="shared" si="26"/>
        <v>2295.0056</v>
      </c>
      <c r="M86" s="6">
        <v>2754</v>
      </c>
      <c r="N86" s="6">
        <v>2754</v>
      </c>
      <c r="O86" s="58">
        <v>0.18</v>
      </c>
      <c r="P86" s="51">
        <f>+N86*0.847457627118644</f>
        <v>2333.8983050847455</v>
      </c>
      <c r="Q86" s="51">
        <f>+P86*18%</f>
        <v>420.1016949152542</v>
      </c>
      <c r="R86" s="51">
        <f>+P86+Q86</f>
        <v>2753.9999999999995</v>
      </c>
      <c r="S86" s="9" t="s">
        <v>83</v>
      </c>
      <c r="T86" s="10" t="s">
        <v>7</v>
      </c>
      <c r="U86" s="11" t="s">
        <v>83</v>
      </c>
      <c r="V86" s="11" t="s">
        <v>83</v>
      </c>
      <c r="W86" s="40" t="s">
        <v>109</v>
      </c>
      <c r="X86" s="40" t="s">
        <v>110</v>
      </c>
    </row>
    <row r="87" spans="1:31" s="32" customFormat="1" ht="18" customHeight="1" x14ac:dyDescent="0.4">
      <c r="A87" s="8">
        <v>85</v>
      </c>
      <c r="B87" s="5" t="s">
        <v>30</v>
      </c>
      <c r="C87" s="5" t="s">
        <v>31</v>
      </c>
      <c r="D87" s="9" t="s">
        <v>41</v>
      </c>
      <c r="E87" s="87" t="s">
        <v>107</v>
      </c>
      <c r="F87" s="87">
        <v>1</v>
      </c>
      <c r="G87" s="29">
        <v>1967</v>
      </c>
      <c r="H87" s="60">
        <v>0.5</v>
      </c>
      <c r="I87" s="65">
        <v>0.05</v>
      </c>
      <c r="J87" s="68">
        <v>936.67</v>
      </c>
      <c r="K87" s="68">
        <f>+I87*J87</f>
        <v>46.833500000000001</v>
      </c>
      <c r="L87" s="68">
        <f t="shared" si="26"/>
        <v>983.50349999999992</v>
      </c>
      <c r="M87" s="29">
        <v>1186</v>
      </c>
      <c r="N87" s="29">
        <v>1186</v>
      </c>
      <c r="O87" s="58">
        <v>0.05</v>
      </c>
      <c r="P87" s="51">
        <f>+N87*0.952380952380952</f>
        <v>1129.5238095238092</v>
      </c>
      <c r="Q87" s="51">
        <f>+P87*5%</f>
        <v>56.47619047619046</v>
      </c>
      <c r="R87" s="51">
        <f t="shared" ref="R87:R88" si="33">+P87+Q87</f>
        <v>1185.9999999999995</v>
      </c>
      <c r="S87" s="112" t="s">
        <v>68</v>
      </c>
      <c r="T87" s="113" t="s">
        <v>10</v>
      </c>
      <c r="U87" s="112" t="s">
        <v>68</v>
      </c>
      <c r="V87" s="114" t="s">
        <v>260</v>
      </c>
      <c r="W87" s="41"/>
      <c r="X87" s="41"/>
    </row>
    <row r="88" spans="1:31" s="32" customFormat="1" ht="18" customHeight="1" x14ac:dyDescent="0.4">
      <c r="A88" s="8">
        <v>86</v>
      </c>
      <c r="B88" s="5" t="s">
        <v>30</v>
      </c>
      <c r="C88" s="5" t="s">
        <v>32</v>
      </c>
      <c r="D88" s="9" t="s">
        <v>42</v>
      </c>
      <c r="E88" s="87" t="s">
        <v>107</v>
      </c>
      <c r="F88" s="87">
        <v>1</v>
      </c>
      <c r="G88" s="29">
        <v>1967</v>
      </c>
      <c r="H88" s="60">
        <v>0.5</v>
      </c>
      <c r="I88" s="65">
        <v>0.05</v>
      </c>
      <c r="J88" s="68">
        <v>936.67</v>
      </c>
      <c r="K88" s="68">
        <f>+I88*J88</f>
        <v>46.833500000000001</v>
      </c>
      <c r="L88" s="68">
        <f t="shared" si="26"/>
        <v>983.50349999999992</v>
      </c>
      <c r="M88" s="29">
        <v>1186</v>
      </c>
      <c r="N88" s="29">
        <v>1186</v>
      </c>
      <c r="O88" s="58">
        <v>0.05</v>
      </c>
      <c r="P88" s="51">
        <f>+N88*0.952380952380952</f>
        <v>1129.5238095238092</v>
      </c>
      <c r="Q88" s="51">
        <f>+P88*5%</f>
        <v>56.47619047619046</v>
      </c>
      <c r="R88" s="51">
        <f t="shared" si="33"/>
        <v>1185.9999999999995</v>
      </c>
      <c r="S88" s="112" t="s">
        <v>68</v>
      </c>
      <c r="T88" s="113" t="s">
        <v>10</v>
      </c>
      <c r="U88" s="112" t="s">
        <v>68</v>
      </c>
      <c r="V88" s="114" t="s">
        <v>260</v>
      </c>
      <c r="W88" s="41"/>
      <c r="X88" s="41"/>
    </row>
    <row r="89" spans="1:31" s="32" customFormat="1" ht="18" customHeight="1" x14ac:dyDescent="0.4">
      <c r="A89" s="8">
        <v>87</v>
      </c>
      <c r="B89" s="5" t="s">
        <v>30</v>
      </c>
      <c r="C89" s="12" t="s">
        <v>31</v>
      </c>
      <c r="D89" s="9" t="s">
        <v>20</v>
      </c>
      <c r="E89" s="87" t="s">
        <v>107</v>
      </c>
      <c r="F89" s="87">
        <v>1</v>
      </c>
      <c r="G89" s="29">
        <v>1967</v>
      </c>
      <c r="H89" s="60">
        <v>0.5</v>
      </c>
      <c r="I89" s="65">
        <v>0.05</v>
      </c>
      <c r="J89" s="68">
        <v>936.67</v>
      </c>
      <c r="K89" s="68">
        <f>+I89*J89</f>
        <v>46.833500000000001</v>
      </c>
      <c r="L89" s="68">
        <f t="shared" si="26"/>
        <v>983.50349999999992</v>
      </c>
      <c r="M89" s="29">
        <v>1200</v>
      </c>
      <c r="N89" s="29">
        <v>1200</v>
      </c>
      <c r="O89" s="58">
        <v>0.05</v>
      </c>
      <c r="P89" s="52">
        <f>+N89*0.952380952380952</f>
        <v>1142.8571428571424</v>
      </c>
      <c r="Q89" s="52">
        <f>+P89*5%</f>
        <v>57.142857142857125</v>
      </c>
      <c r="R89" s="52">
        <f>+P89+Q89</f>
        <v>1199.9999999999995</v>
      </c>
      <c r="S89" s="9" t="s">
        <v>56</v>
      </c>
      <c r="T89" s="10" t="s">
        <v>7</v>
      </c>
      <c r="U89" s="11" t="s">
        <v>127</v>
      </c>
      <c r="V89" s="36" t="s">
        <v>127</v>
      </c>
      <c r="W89" s="40" t="s">
        <v>148</v>
      </c>
      <c r="X89" s="41" t="s">
        <v>149</v>
      </c>
    </row>
    <row r="90" spans="1:31" s="32" customFormat="1" ht="18" customHeight="1" x14ac:dyDescent="0.4">
      <c r="A90" s="8">
        <v>88</v>
      </c>
      <c r="B90" s="13" t="s">
        <v>36</v>
      </c>
      <c r="C90" s="13" t="s">
        <v>33</v>
      </c>
      <c r="D90" s="9" t="s">
        <v>20</v>
      </c>
      <c r="E90" s="88" t="s">
        <v>117</v>
      </c>
      <c r="F90" s="88">
        <v>1</v>
      </c>
      <c r="G90" s="29">
        <v>9000</v>
      </c>
      <c r="H90" s="60">
        <v>0.52</v>
      </c>
      <c r="I90" s="65">
        <v>0.18</v>
      </c>
      <c r="J90" s="68">
        <v>3661.02</v>
      </c>
      <c r="K90" s="68">
        <f t="shared" ref="K90:K100" si="34">+J90*I90</f>
        <v>658.98360000000002</v>
      </c>
      <c r="L90" s="68">
        <f t="shared" si="26"/>
        <v>4320.0036</v>
      </c>
      <c r="M90" s="6">
        <v>5400</v>
      </c>
      <c r="N90" s="29">
        <v>5400</v>
      </c>
      <c r="O90" s="71">
        <v>0.18</v>
      </c>
      <c r="P90" s="51">
        <f>+N90*0.847457627118644</f>
        <v>4576.2711864406774</v>
      </c>
      <c r="Q90" s="51">
        <f>+P90*18%</f>
        <v>823.72881355932191</v>
      </c>
      <c r="R90" s="51">
        <f>+P90+Q90</f>
        <v>5399.9999999999991</v>
      </c>
      <c r="S90" s="9" t="s">
        <v>113</v>
      </c>
      <c r="T90" s="10" t="s">
        <v>7</v>
      </c>
      <c r="U90" s="11" t="s">
        <v>140</v>
      </c>
      <c r="V90" s="36" t="s">
        <v>140</v>
      </c>
      <c r="W90" s="40" t="s">
        <v>150</v>
      </c>
      <c r="X90" s="41" t="s">
        <v>151</v>
      </c>
      <c r="Z90" s="46"/>
      <c r="AA90" s="46"/>
      <c r="AB90" s="46"/>
    </row>
    <row r="91" spans="1:31" s="32" customFormat="1" ht="18" customHeight="1" x14ac:dyDescent="0.4">
      <c r="A91" s="8">
        <v>89</v>
      </c>
      <c r="B91" s="13" t="s">
        <v>36</v>
      </c>
      <c r="C91" s="13" t="s">
        <v>33</v>
      </c>
      <c r="D91" s="9" t="s">
        <v>16</v>
      </c>
      <c r="E91" s="88" t="s">
        <v>116</v>
      </c>
      <c r="F91" s="88">
        <v>1</v>
      </c>
      <c r="G91" s="29">
        <v>9000</v>
      </c>
      <c r="H91" s="60">
        <v>0.52</v>
      </c>
      <c r="I91" s="65">
        <v>0.18</v>
      </c>
      <c r="J91" s="68">
        <v>3661.02</v>
      </c>
      <c r="K91" s="68">
        <f t="shared" si="34"/>
        <v>658.98360000000002</v>
      </c>
      <c r="L91" s="68">
        <f t="shared" si="26"/>
        <v>4320.0036</v>
      </c>
      <c r="M91" s="6">
        <v>5400</v>
      </c>
      <c r="N91" s="29">
        <v>5400</v>
      </c>
      <c r="O91" s="71">
        <v>0.18</v>
      </c>
      <c r="P91" s="51">
        <f>+N91*0.847457627118644</f>
        <v>4576.2711864406774</v>
      </c>
      <c r="Q91" s="51">
        <f>+P91*18%</f>
        <v>823.72881355932191</v>
      </c>
      <c r="R91" s="51">
        <f>+P91+Q91</f>
        <v>5399.9999999999991</v>
      </c>
      <c r="S91" s="9" t="s">
        <v>113</v>
      </c>
      <c r="T91" s="10" t="s">
        <v>7</v>
      </c>
      <c r="U91" s="11" t="s">
        <v>140</v>
      </c>
      <c r="V91" s="36" t="s">
        <v>140</v>
      </c>
      <c r="W91" s="40" t="s">
        <v>150</v>
      </c>
      <c r="X91" s="41" t="s">
        <v>151</v>
      </c>
      <c r="Z91" s="46"/>
      <c r="AA91" s="46"/>
      <c r="AB91" s="46"/>
    </row>
    <row r="92" spans="1:31" s="32" customFormat="1" ht="18" customHeight="1" x14ac:dyDescent="0.4">
      <c r="A92" s="8">
        <v>90</v>
      </c>
      <c r="B92" s="13" t="s">
        <v>36</v>
      </c>
      <c r="C92" s="13" t="s">
        <v>33</v>
      </c>
      <c r="D92" s="9" t="s">
        <v>18</v>
      </c>
      <c r="E92" s="88" t="s">
        <v>116</v>
      </c>
      <c r="F92" s="88">
        <v>1</v>
      </c>
      <c r="G92" s="29">
        <v>9000</v>
      </c>
      <c r="H92" s="60">
        <v>0.52</v>
      </c>
      <c r="I92" s="65">
        <v>0.18</v>
      </c>
      <c r="J92" s="68">
        <v>3661.02</v>
      </c>
      <c r="K92" s="68">
        <f t="shared" si="34"/>
        <v>658.98360000000002</v>
      </c>
      <c r="L92" s="68">
        <f t="shared" si="26"/>
        <v>4320.0036</v>
      </c>
      <c r="M92" s="6">
        <v>5400</v>
      </c>
      <c r="N92" s="29">
        <v>5400</v>
      </c>
      <c r="O92" s="71">
        <v>0.18</v>
      </c>
      <c r="P92" s="51">
        <f>+N92*0.847457627118644</f>
        <v>4576.2711864406774</v>
      </c>
      <c r="Q92" s="51">
        <f>+P92*18%</f>
        <v>823.72881355932191</v>
      </c>
      <c r="R92" s="51">
        <f>+P92+Q92</f>
        <v>5399.9999999999991</v>
      </c>
      <c r="S92" s="9" t="s">
        <v>113</v>
      </c>
      <c r="T92" s="10" t="s">
        <v>7</v>
      </c>
      <c r="U92" s="11" t="s">
        <v>140</v>
      </c>
      <c r="V92" s="36" t="s">
        <v>140</v>
      </c>
      <c r="W92" s="40" t="s">
        <v>150</v>
      </c>
      <c r="X92" s="41" t="s">
        <v>151</v>
      </c>
      <c r="Z92" s="46"/>
      <c r="AA92" s="46"/>
      <c r="AB92" s="46"/>
    </row>
    <row r="93" spans="1:31" s="32" customFormat="1" ht="18" customHeight="1" x14ac:dyDescent="0.4">
      <c r="A93" s="8">
        <v>91</v>
      </c>
      <c r="B93" s="5" t="s">
        <v>30</v>
      </c>
      <c r="C93" s="5" t="s">
        <v>32</v>
      </c>
      <c r="D93" s="9" t="s">
        <v>42</v>
      </c>
      <c r="E93" s="88" t="s">
        <v>116</v>
      </c>
      <c r="F93" s="88">
        <v>1</v>
      </c>
      <c r="G93" s="29">
        <v>1967</v>
      </c>
      <c r="H93" s="60">
        <v>0.52</v>
      </c>
      <c r="I93" s="65">
        <v>0.05</v>
      </c>
      <c r="J93" s="68">
        <v>899.2</v>
      </c>
      <c r="K93" s="68">
        <f t="shared" si="34"/>
        <v>44.960000000000008</v>
      </c>
      <c r="L93" s="68">
        <f t="shared" si="26"/>
        <v>944.16000000000008</v>
      </c>
      <c r="M93" s="29">
        <v>1180</v>
      </c>
      <c r="N93" s="29">
        <v>1180</v>
      </c>
      <c r="O93" s="71">
        <v>0.05</v>
      </c>
      <c r="P93" s="51">
        <f>+N93*0.952380952380952</f>
        <v>1123.8095238095234</v>
      </c>
      <c r="Q93" s="51">
        <f>+P93*5%</f>
        <v>56.190476190476176</v>
      </c>
      <c r="R93" s="51">
        <f t="shared" ref="R93" si="35">+P93+Q93</f>
        <v>1179.9999999999995</v>
      </c>
      <c r="S93" s="9" t="s">
        <v>113</v>
      </c>
      <c r="T93" s="10" t="s">
        <v>7</v>
      </c>
      <c r="U93" s="11" t="s">
        <v>140</v>
      </c>
      <c r="V93" s="36" t="s">
        <v>140</v>
      </c>
      <c r="W93" s="40" t="s">
        <v>150</v>
      </c>
      <c r="X93" s="41" t="s">
        <v>151</v>
      </c>
      <c r="Z93" s="46"/>
      <c r="AA93" s="46"/>
      <c r="AB93" s="46"/>
    </row>
    <row r="94" spans="1:31" s="32" customFormat="1" ht="18" customHeight="1" x14ac:dyDescent="0.4">
      <c r="A94" s="8">
        <v>92</v>
      </c>
      <c r="B94" s="5" t="s">
        <v>30</v>
      </c>
      <c r="C94" s="5" t="s">
        <v>34</v>
      </c>
      <c r="D94" s="9" t="s">
        <v>18</v>
      </c>
      <c r="E94" s="88" t="s">
        <v>116</v>
      </c>
      <c r="F94" s="88">
        <v>1</v>
      </c>
      <c r="G94" s="29">
        <v>4500</v>
      </c>
      <c r="H94" s="60">
        <v>0.52</v>
      </c>
      <c r="I94" s="65">
        <v>0.05</v>
      </c>
      <c r="J94" s="68">
        <v>1830.51</v>
      </c>
      <c r="K94" s="68">
        <f t="shared" si="34"/>
        <v>91.525500000000008</v>
      </c>
      <c r="L94" s="68">
        <f t="shared" si="26"/>
        <v>1922.0355</v>
      </c>
      <c r="M94" s="29">
        <v>2700</v>
      </c>
      <c r="N94" s="29">
        <v>2700</v>
      </c>
      <c r="O94" s="71">
        <v>0.05</v>
      </c>
      <c r="P94" s="51">
        <f>+N94*0.952380952380952</f>
        <v>2571.4285714285702</v>
      </c>
      <c r="Q94" s="51">
        <f>+P94*5%</f>
        <v>128.57142857142853</v>
      </c>
      <c r="R94" s="51">
        <f t="shared" ref="R94" si="36">+P94+Q94</f>
        <v>2699.9999999999986</v>
      </c>
      <c r="S94" s="9" t="s">
        <v>113</v>
      </c>
      <c r="T94" s="10" t="s">
        <v>7</v>
      </c>
      <c r="U94" s="11" t="s">
        <v>140</v>
      </c>
      <c r="V94" s="36" t="s">
        <v>140</v>
      </c>
      <c r="W94" s="40" t="s">
        <v>150</v>
      </c>
      <c r="X94" s="41" t="s">
        <v>151</v>
      </c>
      <c r="Z94" s="46"/>
      <c r="AA94" s="46"/>
      <c r="AB94" s="46"/>
      <c r="AC94" s="32">
        <v>62395</v>
      </c>
      <c r="AD94" s="32">
        <v>62395</v>
      </c>
      <c r="AE94" s="32">
        <v>96000</v>
      </c>
    </row>
    <row r="95" spans="1:31" s="32" customFormat="1" ht="18" customHeight="1" x14ac:dyDescent="0.4">
      <c r="A95" s="8">
        <v>93</v>
      </c>
      <c r="B95" s="44" t="s">
        <v>95</v>
      </c>
      <c r="C95" s="5"/>
      <c r="D95" s="9"/>
      <c r="E95" s="88" t="s">
        <v>116</v>
      </c>
      <c r="F95" s="88">
        <v>1</v>
      </c>
      <c r="G95" s="29">
        <v>1593</v>
      </c>
      <c r="H95" s="60">
        <v>0.52</v>
      </c>
      <c r="I95" s="65">
        <v>0.18</v>
      </c>
      <c r="J95" s="68">
        <v>648</v>
      </c>
      <c r="K95" s="68">
        <f t="shared" si="34"/>
        <v>116.64</v>
      </c>
      <c r="L95" s="68">
        <f t="shared" si="26"/>
        <v>764.64</v>
      </c>
      <c r="M95" s="29">
        <v>958</v>
      </c>
      <c r="N95" s="29">
        <v>958</v>
      </c>
      <c r="O95" s="71">
        <v>0.18</v>
      </c>
      <c r="P95" s="52">
        <f>+N95*0.847457627118644</f>
        <v>811.86440677966095</v>
      </c>
      <c r="Q95" s="52">
        <f>+P95*18%</f>
        <v>146.13559322033896</v>
      </c>
      <c r="R95" s="52">
        <f>+P95+Q95</f>
        <v>957.99999999999989</v>
      </c>
      <c r="S95" s="9" t="s">
        <v>113</v>
      </c>
      <c r="T95" s="10" t="s">
        <v>7</v>
      </c>
      <c r="U95" s="11" t="s">
        <v>140</v>
      </c>
      <c r="V95" s="36" t="s">
        <v>140</v>
      </c>
      <c r="W95" s="40" t="s">
        <v>150</v>
      </c>
      <c r="X95" s="41" t="s">
        <v>151</v>
      </c>
      <c r="Z95" s="46"/>
      <c r="AA95" s="46"/>
      <c r="AB95" s="46"/>
      <c r="AC95" s="32">
        <v>2000</v>
      </c>
      <c r="AD95" s="32">
        <f>+AD94*20%</f>
        <v>12479</v>
      </c>
      <c r="AE95" s="32">
        <f>+AE94*27%</f>
        <v>25920</v>
      </c>
    </row>
    <row r="96" spans="1:31" s="32" customFormat="1" ht="18" customHeight="1" x14ac:dyDescent="0.4">
      <c r="A96" s="8">
        <v>94</v>
      </c>
      <c r="B96" s="5" t="s">
        <v>30</v>
      </c>
      <c r="C96" s="5" t="s">
        <v>34</v>
      </c>
      <c r="D96" s="9" t="s">
        <v>16</v>
      </c>
      <c r="E96" s="88" t="s">
        <v>116</v>
      </c>
      <c r="F96" s="88">
        <v>1</v>
      </c>
      <c r="G96" s="29">
        <v>4500</v>
      </c>
      <c r="H96" s="60">
        <v>0.52</v>
      </c>
      <c r="I96" s="65">
        <v>0.05</v>
      </c>
      <c r="J96" s="68">
        <v>1830.51</v>
      </c>
      <c r="K96" s="68">
        <f t="shared" si="34"/>
        <v>91.525500000000008</v>
      </c>
      <c r="L96" s="68">
        <f t="shared" si="26"/>
        <v>1922.0355</v>
      </c>
      <c r="M96" s="29">
        <v>2700</v>
      </c>
      <c r="N96" s="29">
        <v>2700</v>
      </c>
      <c r="O96" s="71">
        <v>0.05</v>
      </c>
      <c r="P96" s="51">
        <f t="shared" ref="P96:P99" si="37">+N96*0.952380952380952</f>
        <v>2571.4285714285702</v>
      </c>
      <c r="Q96" s="51">
        <f t="shared" ref="Q96:Q99" si="38">+P96*5%</f>
        <v>128.57142857142853</v>
      </c>
      <c r="R96" s="51">
        <f t="shared" ref="R96:R98" si="39">+P96+Q96</f>
        <v>2699.9999999999986</v>
      </c>
      <c r="S96" s="9" t="s">
        <v>113</v>
      </c>
      <c r="T96" s="10" t="s">
        <v>10</v>
      </c>
      <c r="U96" s="11" t="s">
        <v>140</v>
      </c>
      <c r="V96" s="36" t="s">
        <v>140</v>
      </c>
      <c r="W96" s="40" t="s">
        <v>265</v>
      </c>
      <c r="X96" s="92" t="s">
        <v>261</v>
      </c>
      <c r="Z96" s="46"/>
      <c r="AA96" s="46"/>
      <c r="AB96" s="46"/>
      <c r="AC96" s="32">
        <f>+AC94+AC95</f>
        <v>64395</v>
      </c>
      <c r="AD96" s="32">
        <f>+AD94+AD95</f>
        <v>74874</v>
      </c>
      <c r="AE96" s="32">
        <f>+AE94+AE95</f>
        <v>121920</v>
      </c>
    </row>
    <row r="97" spans="1:31" s="32" customFormat="1" ht="18" customHeight="1" x14ac:dyDescent="0.4">
      <c r="A97" s="8">
        <v>95</v>
      </c>
      <c r="B97" s="5" t="s">
        <v>30</v>
      </c>
      <c r="C97" s="5" t="s">
        <v>34</v>
      </c>
      <c r="D97" s="9" t="s">
        <v>16</v>
      </c>
      <c r="E97" s="88" t="s">
        <v>116</v>
      </c>
      <c r="F97" s="88">
        <v>1</v>
      </c>
      <c r="G97" s="29">
        <v>4500</v>
      </c>
      <c r="H97" s="60">
        <v>0.52</v>
      </c>
      <c r="I97" s="65">
        <v>0.05</v>
      </c>
      <c r="J97" s="68">
        <v>1830.51</v>
      </c>
      <c r="K97" s="68">
        <f t="shared" si="34"/>
        <v>91.525500000000008</v>
      </c>
      <c r="L97" s="68">
        <f t="shared" si="26"/>
        <v>1922.0355</v>
      </c>
      <c r="M97" s="29">
        <v>2700</v>
      </c>
      <c r="N97" s="29">
        <v>2700</v>
      </c>
      <c r="O97" s="71">
        <v>0.05</v>
      </c>
      <c r="P97" s="51">
        <f t="shared" si="37"/>
        <v>2571.4285714285702</v>
      </c>
      <c r="Q97" s="51">
        <f t="shared" si="38"/>
        <v>128.57142857142853</v>
      </c>
      <c r="R97" s="51">
        <f t="shared" si="39"/>
        <v>2699.9999999999986</v>
      </c>
      <c r="S97" s="9" t="s">
        <v>113</v>
      </c>
      <c r="T97" s="10" t="s">
        <v>10</v>
      </c>
      <c r="U97" s="11" t="s">
        <v>140</v>
      </c>
      <c r="V97" s="36" t="s">
        <v>140</v>
      </c>
      <c r="W97" s="40" t="s">
        <v>265</v>
      </c>
      <c r="X97" s="92" t="s">
        <v>261</v>
      </c>
      <c r="Z97" s="46"/>
      <c r="AA97" s="46"/>
      <c r="AB97" s="46"/>
      <c r="AC97" s="32">
        <f>+AC96*20%</f>
        <v>12879</v>
      </c>
      <c r="AE97" s="32">
        <v>121569</v>
      </c>
    </row>
    <row r="98" spans="1:31" s="32" customFormat="1" ht="18" customHeight="1" x14ac:dyDescent="0.4">
      <c r="A98" s="8">
        <v>96</v>
      </c>
      <c r="B98" s="5" t="s">
        <v>30</v>
      </c>
      <c r="C98" s="5" t="s">
        <v>34</v>
      </c>
      <c r="D98" s="9" t="s">
        <v>20</v>
      </c>
      <c r="E98" s="88" t="s">
        <v>116</v>
      </c>
      <c r="F98" s="88">
        <v>1</v>
      </c>
      <c r="G98" s="29">
        <v>4500</v>
      </c>
      <c r="H98" s="60">
        <v>0.52</v>
      </c>
      <c r="I98" s="65">
        <v>0.05</v>
      </c>
      <c r="J98" s="68">
        <v>1830.51</v>
      </c>
      <c r="K98" s="68">
        <f t="shared" si="34"/>
        <v>91.525500000000008</v>
      </c>
      <c r="L98" s="68">
        <f t="shared" ref="L98:L102" si="40">+J98+K98</f>
        <v>1922.0355</v>
      </c>
      <c r="M98" s="29">
        <v>2160</v>
      </c>
      <c r="N98" s="29">
        <v>2160</v>
      </c>
      <c r="O98" s="71">
        <v>0.05</v>
      </c>
      <c r="P98" s="51">
        <f t="shared" si="37"/>
        <v>2057.1428571428564</v>
      </c>
      <c r="Q98" s="51">
        <f t="shared" si="38"/>
        <v>102.85714285714283</v>
      </c>
      <c r="R98" s="51">
        <f t="shared" si="39"/>
        <v>2159.9999999999991</v>
      </c>
      <c r="S98" s="9" t="s">
        <v>262</v>
      </c>
      <c r="T98" s="10" t="s">
        <v>10</v>
      </c>
      <c r="U98" s="11"/>
      <c r="V98" s="36"/>
      <c r="W98" s="41"/>
      <c r="X98" s="41"/>
      <c r="Z98" s="46"/>
      <c r="AA98" s="46"/>
      <c r="AB98" s="46"/>
      <c r="AC98" s="32">
        <f>+AC96+AC97</f>
        <v>77274</v>
      </c>
    </row>
    <row r="99" spans="1:31" s="32" customFormat="1" ht="18" customHeight="1" x14ac:dyDescent="0.4">
      <c r="A99" s="8">
        <v>97</v>
      </c>
      <c r="B99" s="5" t="s">
        <v>30</v>
      </c>
      <c r="C99" s="5" t="s">
        <v>112</v>
      </c>
      <c r="D99" s="9" t="s">
        <v>16</v>
      </c>
      <c r="E99" s="88" t="s">
        <v>116</v>
      </c>
      <c r="F99" s="88">
        <v>1</v>
      </c>
      <c r="G99" s="29">
        <v>2999</v>
      </c>
      <c r="H99" s="60">
        <v>0.52</v>
      </c>
      <c r="I99" s="65">
        <v>0.05</v>
      </c>
      <c r="J99" s="68">
        <v>1370.97</v>
      </c>
      <c r="K99" s="68">
        <f>+I99*J99</f>
        <v>68.548500000000004</v>
      </c>
      <c r="L99" s="68">
        <f>+J99+K99</f>
        <v>1439.5185000000001</v>
      </c>
      <c r="M99" s="29">
        <v>1440</v>
      </c>
      <c r="N99" s="29">
        <v>1440</v>
      </c>
      <c r="O99" s="71">
        <v>0.05</v>
      </c>
      <c r="P99" s="51">
        <f t="shared" si="37"/>
        <v>1371.4285714285709</v>
      </c>
      <c r="Q99" s="51">
        <f t="shared" si="38"/>
        <v>68.571428571428541</v>
      </c>
      <c r="R99" s="51">
        <f t="shared" ref="R99" si="41">+P99+Q99</f>
        <v>1439.9999999999993</v>
      </c>
      <c r="S99" s="112" t="s">
        <v>263</v>
      </c>
      <c r="T99" s="113" t="s">
        <v>10</v>
      </c>
      <c r="U99" s="187"/>
      <c r="V99" s="114" t="s">
        <v>260</v>
      </c>
      <c r="W99" s="41"/>
      <c r="X99" s="41"/>
      <c r="Z99" s="46"/>
      <c r="AA99" s="46"/>
      <c r="AB99" s="46"/>
    </row>
    <row r="100" spans="1:31" s="32" customFormat="1" ht="18" customHeight="1" x14ac:dyDescent="0.4">
      <c r="A100" s="8">
        <v>101</v>
      </c>
      <c r="B100" s="5" t="s">
        <v>96</v>
      </c>
      <c r="C100" s="5" t="s">
        <v>97</v>
      </c>
      <c r="D100" s="9" t="s">
        <v>41</v>
      </c>
      <c r="E100" s="88" t="s">
        <v>116</v>
      </c>
      <c r="F100" s="88">
        <v>1</v>
      </c>
      <c r="G100" s="29">
        <v>3299</v>
      </c>
      <c r="H100" s="60">
        <v>0.52</v>
      </c>
      <c r="I100" s="65">
        <v>0.05</v>
      </c>
      <c r="J100" s="68">
        <v>1423.32</v>
      </c>
      <c r="K100" s="68">
        <f t="shared" si="34"/>
        <v>71.165999999999997</v>
      </c>
      <c r="L100" s="68">
        <f t="shared" si="40"/>
        <v>1494.4859999999999</v>
      </c>
      <c r="M100" s="29">
        <v>2309</v>
      </c>
      <c r="N100" s="29">
        <v>2309</v>
      </c>
      <c r="O100" s="71">
        <v>0.05</v>
      </c>
      <c r="P100" s="52">
        <f>+N100*0.952380952380952</f>
        <v>2199.0476190476184</v>
      </c>
      <c r="Q100" s="52">
        <f>+P100*5%</f>
        <v>109.95238095238092</v>
      </c>
      <c r="R100" s="52">
        <f>+P100+Q100</f>
        <v>2308.9999999999991</v>
      </c>
      <c r="S100" s="9" t="s">
        <v>115</v>
      </c>
      <c r="T100" s="10" t="s">
        <v>7</v>
      </c>
      <c r="U100" s="9" t="s">
        <v>115</v>
      </c>
      <c r="V100" s="9" t="s">
        <v>115</v>
      </c>
      <c r="W100" s="41" t="s">
        <v>293</v>
      </c>
      <c r="X100" s="41" t="s">
        <v>275</v>
      </c>
      <c r="Z100" s="46"/>
      <c r="AA100" s="46"/>
      <c r="AB100" s="46"/>
    </row>
    <row r="101" spans="1:31" s="32" customFormat="1" ht="18" customHeight="1" x14ac:dyDescent="0.4">
      <c r="A101" s="8">
        <v>102</v>
      </c>
      <c r="B101" s="53" t="s">
        <v>30</v>
      </c>
      <c r="C101" s="53" t="s">
        <v>29</v>
      </c>
      <c r="D101" s="9" t="s">
        <v>4</v>
      </c>
      <c r="E101" s="87" t="s">
        <v>107</v>
      </c>
      <c r="F101" s="87">
        <v>1</v>
      </c>
      <c r="G101" s="29">
        <v>2207</v>
      </c>
      <c r="H101" s="60">
        <v>0.5</v>
      </c>
      <c r="I101" s="65">
        <v>0.05</v>
      </c>
      <c r="J101" s="66">
        <v>1050.95</v>
      </c>
      <c r="K101" s="67">
        <f>+J101*I101</f>
        <v>52.547500000000007</v>
      </c>
      <c r="L101" s="67">
        <f t="shared" si="40"/>
        <v>1103.4974999999999</v>
      </c>
      <c r="M101" s="29"/>
      <c r="N101" s="29"/>
      <c r="O101" s="71">
        <v>0.05</v>
      </c>
      <c r="P101" s="52"/>
      <c r="Q101" s="52"/>
      <c r="R101" s="52"/>
      <c r="S101" s="9" t="s">
        <v>126</v>
      </c>
      <c r="T101" s="10" t="s">
        <v>10</v>
      </c>
      <c r="U101" s="11"/>
      <c r="V101" s="36"/>
      <c r="W101" s="41"/>
      <c r="X101" s="41"/>
      <c r="Z101" s="46"/>
      <c r="AA101" s="46"/>
      <c r="AB101" s="46"/>
    </row>
    <row r="102" spans="1:31" s="32" customFormat="1" ht="18" customHeight="1" x14ac:dyDescent="0.4">
      <c r="A102" s="8">
        <v>103</v>
      </c>
      <c r="B102" s="53" t="s">
        <v>30</v>
      </c>
      <c r="C102" s="53" t="s">
        <v>49</v>
      </c>
      <c r="D102" s="9" t="s">
        <v>4</v>
      </c>
      <c r="E102" s="88" t="s">
        <v>116</v>
      </c>
      <c r="F102" s="88">
        <v>1</v>
      </c>
      <c r="G102" s="29">
        <v>2207</v>
      </c>
      <c r="H102" s="60">
        <v>0.52</v>
      </c>
      <c r="I102" s="65">
        <v>0.05</v>
      </c>
      <c r="J102" s="68">
        <v>1008.91</v>
      </c>
      <c r="K102" s="68">
        <f>+J102*I102</f>
        <v>50.445500000000003</v>
      </c>
      <c r="L102" s="68">
        <f t="shared" si="40"/>
        <v>1059.3554999999999</v>
      </c>
      <c r="M102" s="29"/>
      <c r="N102" s="29"/>
      <c r="O102" s="71">
        <v>0.05</v>
      </c>
      <c r="P102" s="52"/>
      <c r="Q102" s="52"/>
      <c r="R102" s="52"/>
      <c r="S102" s="9" t="s">
        <v>126</v>
      </c>
      <c r="T102" s="10" t="s">
        <v>10</v>
      </c>
      <c r="U102" s="11"/>
      <c r="V102" s="36"/>
      <c r="W102" s="41"/>
      <c r="X102" s="41"/>
      <c r="Z102" s="46"/>
      <c r="AA102" s="46"/>
      <c r="AB102" s="46"/>
    </row>
    <row r="103" spans="1:31" s="32" customFormat="1" ht="18" customHeight="1" x14ac:dyDescent="0.4">
      <c r="A103" s="8">
        <v>104</v>
      </c>
      <c r="B103" s="5" t="s">
        <v>96</v>
      </c>
      <c r="C103" s="5" t="s">
        <v>97</v>
      </c>
      <c r="D103" s="9" t="s">
        <v>41</v>
      </c>
      <c r="E103" s="88" t="s">
        <v>116</v>
      </c>
      <c r="F103" s="88">
        <v>1</v>
      </c>
      <c r="G103" s="29">
        <v>3299</v>
      </c>
      <c r="H103" s="60">
        <v>0.52</v>
      </c>
      <c r="I103" s="65">
        <v>0.05</v>
      </c>
      <c r="J103" s="68">
        <v>1423.32</v>
      </c>
      <c r="K103" s="68">
        <f t="shared" ref="K103" si="42">+J103*I103</f>
        <v>71.165999999999997</v>
      </c>
      <c r="L103" s="68">
        <f t="shared" ref="L103" si="43">+J103+K103</f>
        <v>1494.4859999999999</v>
      </c>
      <c r="M103" s="29"/>
      <c r="N103" s="29"/>
      <c r="O103" s="71">
        <v>0.05</v>
      </c>
      <c r="P103" s="52"/>
      <c r="Q103" s="52"/>
      <c r="R103" s="52"/>
      <c r="S103" s="112" t="s">
        <v>365</v>
      </c>
      <c r="T103" s="113" t="s">
        <v>10</v>
      </c>
      <c r="U103" s="187"/>
      <c r="V103" s="114" t="s">
        <v>260</v>
      </c>
      <c r="W103" s="41"/>
      <c r="X103" s="41"/>
      <c r="Z103" s="46"/>
      <c r="AA103" s="46"/>
      <c r="AB103" s="46"/>
    </row>
    <row r="104" spans="1:31" s="32" customFormat="1" ht="18" customHeight="1" x14ac:dyDescent="0.4">
      <c r="A104" s="8">
        <v>107</v>
      </c>
      <c r="B104" s="5" t="s">
        <v>30</v>
      </c>
      <c r="C104" s="12" t="s">
        <v>32</v>
      </c>
      <c r="D104" s="9" t="s">
        <v>41</v>
      </c>
      <c r="E104" s="87" t="s">
        <v>107</v>
      </c>
      <c r="F104" s="87">
        <v>1</v>
      </c>
      <c r="G104" s="29">
        <v>1967</v>
      </c>
      <c r="H104" s="60">
        <v>0.5</v>
      </c>
      <c r="I104" s="65">
        <v>0.05</v>
      </c>
      <c r="J104" s="68">
        <v>936.67</v>
      </c>
      <c r="K104" s="68">
        <f t="shared" ref="K104:K115" si="44">+I104*J104</f>
        <v>46.833500000000001</v>
      </c>
      <c r="L104" s="68">
        <f t="shared" ref="L104" si="45">+J104+K104</f>
        <v>983.50349999999992</v>
      </c>
      <c r="M104" s="6">
        <v>1200</v>
      </c>
      <c r="N104" s="29">
        <v>1200</v>
      </c>
      <c r="O104" s="71">
        <v>0.05</v>
      </c>
      <c r="P104" s="52">
        <f>+N104*0.952380952380952</f>
        <v>1142.8571428571424</v>
      </c>
      <c r="Q104" s="52">
        <f>+P104*5%</f>
        <v>57.142857142857125</v>
      </c>
      <c r="R104" s="52">
        <f>+P104+Q104</f>
        <v>1199.9999999999995</v>
      </c>
      <c r="S104" s="9" t="s">
        <v>56</v>
      </c>
      <c r="T104" s="10" t="s">
        <v>7</v>
      </c>
      <c r="U104" s="11" t="s">
        <v>127</v>
      </c>
      <c r="V104" s="11" t="s">
        <v>127</v>
      </c>
      <c r="W104" s="40" t="s">
        <v>148</v>
      </c>
      <c r="X104" s="41" t="s">
        <v>149</v>
      </c>
      <c r="Z104" s="46"/>
      <c r="AA104" s="46"/>
      <c r="AB104" s="46"/>
    </row>
    <row r="105" spans="1:31" s="32" customFormat="1" ht="18" customHeight="1" x14ac:dyDescent="0.4">
      <c r="A105" s="8">
        <v>108</v>
      </c>
      <c r="B105" s="53" t="s">
        <v>30</v>
      </c>
      <c r="C105" s="184" t="s">
        <v>31</v>
      </c>
      <c r="D105" s="9" t="s">
        <v>16</v>
      </c>
      <c r="E105" s="87" t="s">
        <v>107</v>
      </c>
      <c r="F105" s="87">
        <v>1</v>
      </c>
      <c r="G105" s="29">
        <v>1967</v>
      </c>
      <c r="H105" s="60">
        <v>0.5</v>
      </c>
      <c r="I105" s="65">
        <v>0.05</v>
      </c>
      <c r="J105" s="68">
        <v>936.67</v>
      </c>
      <c r="K105" s="68">
        <f t="shared" si="44"/>
        <v>46.833500000000001</v>
      </c>
      <c r="L105" s="68">
        <f t="shared" ref="L105:L115" si="46">+J105+K105</f>
        <v>983.50349999999992</v>
      </c>
      <c r="M105" s="6">
        <v>1377</v>
      </c>
      <c r="N105" s="6">
        <v>1377</v>
      </c>
      <c r="O105" s="58">
        <v>0.05</v>
      </c>
      <c r="P105" s="51">
        <f t="shared" ref="P105" si="47">+N105*0.952380952380952</f>
        <v>1311.4285714285709</v>
      </c>
      <c r="Q105" s="51">
        <f>+P105*5%</f>
        <v>65.571428571428541</v>
      </c>
      <c r="R105" s="51">
        <f>+P105+Q105</f>
        <v>1376.9999999999993</v>
      </c>
      <c r="S105" s="10" t="s">
        <v>25</v>
      </c>
      <c r="T105" s="10" t="s">
        <v>7</v>
      </c>
      <c r="U105" s="11" t="s">
        <v>25</v>
      </c>
      <c r="V105" s="36" t="s">
        <v>25</v>
      </c>
      <c r="W105" s="40" t="s">
        <v>264</v>
      </c>
      <c r="X105" s="41" t="s">
        <v>198</v>
      </c>
      <c r="Z105" s="46"/>
      <c r="AA105" s="46"/>
      <c r="AB105" s="46"/>
    </row>
    <row r="106" spans="1:31" s="32" customFormat="1" ht="18" customHeight="1" x14ac:dyDescent="0.4">
      <c r="A106" s="8">
        <v>109</v>
      </c>
      <c r="B106" s="13" t="s">
        <v>36</v>
      </c>
      <c r="C106" s="14" t="s">
        <v>35</v>
      </c>
      <c r="D106" s="9" t="s">
        <v>9</v>
      </c>
      <c r="E106" s="88" t="s">
        <v>116</v>
      </c>
      <c r="F106" s="88">
        <v>1</v>
      </c>
      <c r="G106" s="29">
        <v>5000</v>
      </c>
      <c r="H106" s="60">
        <v>0.52</v>
      </c>
      <c r="I106" s="65">
        <v>0.05</v>
      </c>
      <c r="J106" s="68">
        <v>4761.8999999999996</v>
      </c>
      <c r="K106" s="68">
        <f t="shared" si="44"/>
        <v>238.095</v>
      </c>
      <c r="L106" s="68">
        <f t="shared" si="46"/>
        <v>4999.9949999999999</v>
      </c>
      <c r="M106" s="6">
        <v>3000</v>
      </c>
      <c r="N106" s="29">
        <v>3000</v>
      </c>
      <c r="O106" s="58">
        <v>0.05</v>
      </c>
      <c r="P106" s="52">
        <v>2857.14</v>
      </c>
      <c r="Q106" s="51">
        <f>+P106*5%</f>
        <v>142.857</v>
      </c>
      <c r="R106" s="51">
        <f>+P106+Q106</f>
        <v>2999.9969999999998</v>
      </c>
      <c r="S106" s="9" t="s">
        <v>184</v>
      </c>
      <c r="T106" s="10" t="s">
        <v>10</v>
      </c>
      <c r="U106" s="11" t="s">
        <v>184</v>
      </c>
      <c r="V106" s="36" t="s">
        <v>184</v>
      </c>
      <c r="W106" s="41" t="s">
        <v>250</v>
      </c>
      <c r="X106" s="41"/>
      <c r="Z106" s="46"/>
      <c r="AA106" s="46"/>
      <c r="AB106" s="46"/>
    </row>
    <row r="107" spans="1:31" s="32" customFormat="1" ht="18" customHeight="1" x14ac:dyDescent="0.4">
      <c r="A107" s="8">
        <v>110</v>
      </c>
      <c r="B107" s="53" t="s">
        <v>30</v>
      </c>
      <c r="C107" s="14" t="s">
        <v>31</v>
      </c>
      <c r="D107" s="9" t="s">
        <v>20</v>
      </c>
      <c r="E107" s="87" t="s">
        <v>107</v>
      </c>
      <c r="F107" s="87">
        <v>1</v>
      </c>
      <c r="G107" s="29">
        <v>1967</v>
      </c>
      <c r="H107" s="60">
        <v>0.5</v>
      </c>
      <c r="I107" s="65">
        <v>0.05</v>
      </c>
      <c r="J107" s="68">
        <v>1873.33</v>
      </c>
      <c r="K107" s="68">
        <f t="shared" si="44"/>
        <v>93.666499999999999</v>
      </c>
      <c r="L107" s="68">
        <f t="shared" si="46"/>
        <v>1966.9965</v>
      </c>
      <c r="M107" s="6">
        <v>1377</v>
      </c>
      <c r="N107" s="6">
        <v>1377</v>
      </c>
      <c r="O107" s="58">
        <v>0.05</v>
      </c>
      <c r="P107" s="51">
        <f t="shared" ref="P107" si="48">+N107*0.952380952380952</f>
        <v>1311.4285714285709</v>
      </c>
      <c r="Q107" s="51">
        <f>+P107*5%</f>
        <v>65.571428571428541</v>
      </c>
      <c r="R107" s="51">
        <f t="shared" ref="R107:R108" si="49">+P107+Q107</f>
        <v>1376.9999999999993</v>
      </c>
      <c r="S107" s="9" t="s">
        <v>129</v>
      </c>
      <c r="T107" s="10" t="s">
        <v>7</v>
      </c>
      <c r="U107" s="11" t="s">
        <v>157</v>
      </c>
      <c r="V107" s="11" t="s">
        <v>157</v>
      </c>
      <c r="W107" s="40" t="s">
        <v>154</v>
      </c>
      <c r="X107" s="41" t="s">
        <v>156</v>
      </c>
      <c r="Z107" s="46"/>
      <c r="AA107" s="46"/>
      <c r="AB107" s="46"/>
    </row>
    <row r="108" spans="1:31" s="32" customFormat="1" ht="18" customHeight="1" x14ac:dyDescent="0.4">
      <c r="A108" s="8">
        <v>111</v>
      </c>
      <c r="B108" s="5" t="s">
        <v>30</v>
      </c>
      <c r="C108" s="5" t="s">
        <v>34</v>
      </c>
      <c r="D108" s="9" t="s">
        <v>41</v>
      </c>
      <c r="E108" s="87" t="s">
        <v>107</v>
      </c>
      <c r="F108" s="87">
        <v>1</v>
      </c>
      <c r="G108" s="29">
        <v>4500</v>
      </c>
      <c r="H108" s="60">
        <v>0.5</v>
      </c>
      <c r="I108" s="65">
        <v>0.18</v>
      </c>
      <c r="J108" s="68">
        <v>3813.55</v>
      </c>
      <c r="K108" s="68">
        <f t="shared" si="44"/>
        <v>686.43899999999996</v>
      </c>
      <c r="L108" s="68">
        <f t="shared" si="46"/>
        <v>4499.9890000000005</v>
      </c>
      <c r="M108" s="6">
        <v>2700</v>
      </c>
      <c r="N108" s="6">
        <v>2700</v>
      </c>
      <c r="O108" s="58">
        <v>0.18</v>
      </c>
      <c r="P108" s="52">
        <v>2288.14</v>
      </c>
      <c r="Q108" s="51">
        <f>+P108*18%</f>
        <v>411.86519999999996</v>
      </c>
      <c r="R108" s="51">
        <f t="shared" si="49"/>
        <v>2700.0051999999996</v>
      </c>
      <c r="S108" s="9" t="s">
        <v>130</v>
      </c>
      <c r="T108" s="10" t="s">
        <v>7</v>
      </c>
      <c r="U108" s="11" t="s">
        <v>157</v>
      </c>
      <c r="V108" s="11" t="s">
        <v>157</v>
      </c>
      <c r="W108" s="40" t="s">
        <v>154</v>
      </c>
      <c r="X108" s="41" t="s">
        <v>156</v>
      </c>
      <c r="Z108" s="46"/>
      <c r="AA108" s="46"/>
      <c r="AB108" s="46"/>
    </row>
    <row r="109" spans="1:31" s="32" customFormat="1" ht="18" customHeight="1" x14ac:dyDescent="0.4">
      <c r="A109" s="8">
        <v>112</v>
      </c>
      <c r="B109" s="44" t="s">
        <v>93</v>
      </c>
      <c r="C109" s="5" t="s">
        <v>128</v>
      </c>
      <c r="D109" s="9" t="s">
        <v>16</v>
      </c>
      <c r="E109" s="87" t="s">
        <v>107</v>
      </c>
      <c r="F109" s="87">
        <v>1</v>
      </c>
      <c r="G109" s="29">
        <v>6500</v>
      </c>
      <c r="H109" s="60">
        <v>0.5</v>
      </c>
      <c r="I109" s="65">
        <v>0.18</v>
      </c>
      <c r="J109" s="68">
        <v>5508.47</v>
      </c>
      <c r="K109" s="68">
        <f t="shared" si="44"/>
        <v>991.52459999999996</v>
      </c>
      <c r="L109" s="68">
        <f t="shared" si="46"/>
        <v>6499.9946</v>
      </c>
      <c r="M109" s="6">
        <v>4225</v>
      </c>
      <c r="N109" s="6">
        <v>4225</v>
      </c>
      <c r="O109" s="71">
        <v>0.18</v>
      </c>
      <c r="P109" s="52">
        <v>3580.5079999999998</v>
      </c>
      <c r="Q109" s="51">
        <f>+P109*18%</f>
        <v>644.4914399999999</v>
      </c>
      <c r="R109" s="51">
        <f t="shared" ref="R109:R110" si="50">+P109+Q109</f>
        <v>4224.9994399999996</v>
      </c>
      <c r="S109" s="9" t="s">
        <v>131</v>
      </c>
      <c r="T109" s="10" t="s">
        <v>7</v>
      </c>
      <c r="U109" s="11" t="s">
        <v>157</v>
      </c>
      <c r="V109" s="11" t="s">
        <v>157</v>
      </c>
      <c r="W109" s="40" t="s">
        <v>154</v>
      </c>
      <c r="X109" s="41" t="s">
        <v>156</v>
      </c>
      <c r="Z109" s="46"/>
      <c r="AA109" s="46"/>
      <c r="AB109" s="46"/>
    </row>
    <row r="110" spans="1:31" s="32" customFormat="1" ht="18" customHeight="1" x14ac:dyDescent="0.4">
      <c r="A110" s="8">
        <v>113</v>
      </c>
      <c r="B110" s="5" t="s">
        <v>132</v>
      </c>
      <c r="C110" s="5" t="s">
        <v>132</v>
      </c>
      <c r="D110" s="9" t="s">
        <v>138</v>
      </c>
      <c r="E110" s="88" t="s">
        <v>116</v>
      </c>
      <c r="F110" s="88">
        <v>1</v>
      </c>
      <c r="G110" s="29">
        <v>406.8</v>
      </c>
      <c r="H110" s="60">
        <v>0.52</v>
      </c>
      <c r="I110" s="65">
        <v>0.18</v>
      </c>
      <c r="J110" s="68">
        <v>344.745</v>
      </c>
      <c r="K110" s="68">
        <f t="shared" si="44"/>
        <v>62.054099999999998</v>
      </c>
      <c r="L110" s="68">
        <f t="shared" si="46"/>
        <v>406.79910000000001</v>
      </c>
      <c r="M110" s="6">
        <v>285</v>
      </c>
      <c r="N110" s="29">
        <v>285</v>
      </c>
      <c r="O110" s="71">
        <v>0.18</v>
      </c>
      <c r="P110" s="52">
        <v>241.53</v>
      </c>
      <c r="Q110" s="51">
        <f>+P110*18%</f>
        <v>43.4754</v>
      </c>
      <c r="R110" s="51">
        <f t="shared" si="50"/>
        <v>285.00540000000001</v>
      </c>
      <c r="S110" s="9" t="s">
        <v>131</v>
      </c>
      <c r="T110" s="10" t="s">
        <v>7</v>
      </c>
      <c r="U110" s="11" t="s">
        <v>157</v>
      </c>
      <c r="V110" s="11" t="s">
        <v>157</v>
      </c>
      <c r="W110" s="40" t="s">
        <v>154</v>
      </c>
      <c r="X110" s="41" t="s">
        <v>156</v>
      </c>
      <c r="Z110" s="46"/>
      <c r="AA110" s="46"/>
      <c r="AB110" s="46"/>
    </row>
    <row r="111" spans="1:31" s="32" customFormat="1" ht="18" customHeight="1" x14ac:dyDescent="0.4">
      <c r="A111" s="8">
        <v>114</v>
      </c>
      <c r="B111" s="5" t="s">
        <v>133</v>
      </c>
      <c r="C111" s="5" t="s">
        <v>133</v>
      </c>
      <c r="D111" s="9" t="s">
        <v>138</v>
      </c>
      <c r="E111" s="88" t="s">
        <v>116</v>
      </c>
      <c r="F111" s="88">
        <v>1</v>
      </c>
      <c r="G111" s="29">
        <v>251.69</v>
      </c>
      <c r="H111" s="60">
        <v>0.52</v>
      </c>
      <c r="I111" s="65">
        <v>0.18</v>
      </c>
      <c r="J111" s="68">
        <v>213.3</v>
      </c>
      <c r="K111" s="68">
        <f t="shared" si="44"/>
        <v>38.393999999999998</v>
      </c>
      <c r="L111" s="68">
        <f t="shared" si="46"/>
        <v>251.69400000000002</v>
      </c>
      <c r="M111" s="29">
        <v>208</v>
      </c>
      <c r="N111" s="29">
        <v>208</v>
      </c>
      <c r="O111" s="71">
        <v>0.18</v>
      </c>
      <c r="P111" s="52">
        <v>176.27</v>
      </c>
      <c r="Q111" s="51">
        <f>+P111*18%</f>
        <v>31.7286</v>
      </c>
      <c r="R111" s="51">
        <f t="shared" ref="R111:R112" si="51">+P111+Q111</f>
        <v>207.99860000000001</v>
      </c>
      <c r="S111" s="9" t="s">
        <v>131</v>
      </c>
      <c r="T111" s="10" t="s">
        <v>7</v>
      </c>
      <c r="U111" s="11" t="s">
        <v>157</v>
      </c>
      <c r="V111" s="11" t="s">
        <v>157</v>
      </c>
      <c r="W111" s="40" t="s">
        <v>154</v>
      </c>
      <c r="X111" s="41" t="s">
        <v>156</v>
      </c>
      <c r="Z111" s="46"/>
      <c r="AA111" s="46"/>
      <c r="AB111" s="46"/>
    </row>
    <row r="112" spans="1:31" s="32" customFormat="1" ht="18" customHeight="1" x14ac:dyDescent="0.4">
      <c r="A112" s="8">
        <v>115</v>
      </c>
      <c r="B112" s="5" t="s">
        <v>134</v>
      </c>
      <c r="C112" s="5" t="s">
        <v>134</v>
      </c>
      <c r="D112" s="9" t="s">
        <v>138</v>
      </c>
      <c r="E112" s="88" t="s">
        <v>116</v>
      </c>
      <c r="F112" s="88">
        <v>1</v>
      </c>
      <c r="G112" s="29">
        <v>243</v>
      </c>
      <c r="H112" s="60">
        <v>0.52</v>
      </c>
      <c r="I112" s="65">
        <v>0.05</v>
      </c>
      <c r="J112" s="68">
        <v>111.09</v>
      </c>
      <c r="K112" s="68">
        <f t="shared" si="44"/>
        <v>5.5545000000000009</v>
      </c>
      <c r="L112" s="68">
        <f t="shared" si="46"/>
        <v>116.64450000000001</v>
      </c>
      <c r="M112" s="29">
        <v>170</v>
      </c>
      <c r="N112" s="29">
        <v>170</v>
      </c>
      <c r="O112" s="58">
        <v>0.05</v>
      </c>
      <c r="P112" s="52">
        <v>161.9</v>
      </c>
      <c r="Q112" s="52">
        <f>+P112*5%</f>
        <v>8.0950000000000006</v>
      </c>
      <c r="R112" s="52">
        <f t="shared" si="51"/>
        <v>169.995</v>
      </c>
      <c r="S112" s="9" t="s">
        <v>25</v>
      </c>
      <c r="T112" s="10" t="s">
        <v>7</v>
      </c>
      <c r="U112" s="11" t="s">
        <v>25</v>
      </c>
      <c r="V112" s="36" t="s">
        <v>25</v>
      </c>
      <c r="W112" s="40" t="s">
        <v>264</v>
      </c>
      <c r="X112" s="41" t="s">
        <v>198</v>
      </c>
      <c r="Z112" s="46"/>
      <c r="AA112" s="46"/>
      <c r="AB112" s="46"/>
    </row>
    <row r="113" spans="1:28" s="32" customFormat="1" ht="18" customHeight="1" x14ac:dyDescent="0.4">
      <c r="A113" s="8">
        <v>116</v>
      </c>
      <c r="B113" s="5" t="s">
        <v>134</v>
      </c>
      <c r="C113" s="5" t="s">
        <v>134</v>
      </c>
      <c r="D113" s="9" t="s">
        <v>138</v>
      </c>
      <c r="E113" s="88" t="s">
        <v>116</v>
      </c>
      <c r="F113" s="88">
        <v>1</v>
      </c>
      <c r="G113" s="29">
        <v>243</v>
      </c>
      <c r="H113" s="60">
        <v>0.52</v>
      </c>
      <c r="I113" s="65">
        <v>0.05</v>
      </c>
      <c r="J113" s="68">
        <v>111.09</v>
      </c>
      <c r="K113" s="68">
        <f t="shared" si="44"/>
        <v>5.5545000000000009</v>
      </c>
      <c r="L113" s="68">
        <f t="shared" si="46"/>
        <v>116.64450000000001</v>
      </c>
      <c r="M113" s="29">
        <v>170</v>
      </c>
      <c r="N113" s="29">
        <v>170</v>
      </c>
      <c r="O113" s="58">
        <v>0.05</v>
      </c>
      <c r="P113" s="52">
        <v>161.9</v>
      </c>
      <c r="Q113" s="52">
        <f t="shared" ref="Q113:Q116" si="52">+P113*5%</f>
        <v>8.0950000000000006</v>
      </c>
      <c r="R113" s="52">
        <f t="shared" ref="R113:R116" si="53">+P113+Q113</f>
        <v>169.995</v>
      </c>
      <c r="S113" s="9" t="s">
        <v>25</v>
      </c>
      <c r="T113" s="10" t="s">
        <v>7</v>
      </c>
      <c r="U113" s="11" t="s">
        <v>25</v>
      </c>
      <c r="V113" s="36" t="s">
        <v>25</v>
      </c>
      <c r="W113" s="40" t="s">
        <v>264</v>
      </c>
      <c r="X113" s="41" t="s">
        <v>198</v>
      </c>
      <c r="Z113" s="46"/>
      <c r="AA113" s="46"/>
      <c r="AB113" s="46"/>
    </row>
    <row r="114" spans="1:28" s="32" customFormat="1" ht="18" customHeight="1" x14ac:dyDescent="0.4">
      <c r="A114" s="8">
        <v>117</v>
      </c>
      <c r="B114" s="5" t="s">
        <v>134</v>
      </c>
      <c r="C114" s="5" t="s">
        <v>134</v>
      </c>
      <c r="D114" s="9" t="s">
        <v>138</v>
      </c>
      <c r="E114" s="88" t="s">
        <v>116</v>
      </c>
      <c r="F114" s="88">
        <v>1</v>
      </c>
      <c r="G114" s="29">
        <v>243</v>
      </c>
      <c r="H114" s="60">
        <v>0.52</v>
      </c>
      <c r="I114" s="65">
        <v>0.05</v>
      </c>
      <c r="J114" s="68">
        <v>111.09</v>
      </c>
      <c r="K114" s="68">
        <f t="shared" si="44"/>
        <v>5.5545000000000009</v>
      </c>
      <c r="L114" s="68">
        <f t="shared" si="46"/>
        <v>116.64450000000001</v>
      </c>
      <c r="M114" s="29">
        <v>170</v>
      </c>
      <c r="N114" s="29">
        <v>170</v>
      </c>
      <c r="O114" s="58">
        <v>0.05</v>
      </c>
      <c r="P114" s="52">
        <v>161.9</v>
      </c>
      <c r="Q114" s="52">
        <f t="shared" si="52"/>
        <v>8.0950000000000006</v>
      </c>
      <c r="R114" s="52">
        <f t="shared" si="53"/>
        <v>169.995</v>
      </c>
      <c r="S114" s="9" t="s">
        <v>25</v>
      </c>
      <c r="T114" s="10" t="s">
        <v>7</v>
      </c>
      <c r="U114" s="11" t="s">
        <v>25</v>
      </c>
      <c r="V114" s="36" t="s">
        <v>25</v>
      </c>
      <c r="W114" s="40" t="s">
        <v>264</v>
      </c>
      <c r="X114" s="41" t="s">
        <v>198</v>
      </c>
      <c r="Z114" s="46"/>
      <c r="AA114" s="46"/>
      <c r="AB114" s="46"/>
    </row>
    <row r="115" spans="1:28" s="32" customFormat="1" ht="18" customHeight="1" x14ac:dyDescent="0.4">
      <c r="A115" s="8">
        <v>118</v>
      </c>
      <c r="B115" s="5" t="s">
        <v>134</v>
      </c>
      <c r="C115" s="5" t="s">
        <v>134</v>
      </c>
      <c r="D115" s="9" t="s">
        <v>138</v>
      </c>
      <c r="E115" s="88" t="s">
        <v>116</v>
      </c>
      <c r="F115" s="88">
        <v>1</v>
      </c>
      <c r="G115" s="29">
        <v>243</v>
      </c>
      <c r="H115" s="60">
        <v>0.52</v>
      </c>
      <c r="I115" s="65">
        <v>0.05</v>
      </c>
      <c r="J115" s="68">
        <v>111.09</v>
      </c>
      <c r="K115" s="68">
        <f t="shared" si="44"/>
        <v>5.5545000000000009</v>
      </c>
      <c r="L115" s="68">
        <f t="shared" si="46"/>
        <v>116.64450000000001</v>
      </c>
      <c r="M115" s="29">
        <v>170</v>
      </c>
      <c r="N115" s="29">
        <v>170</v>
      </c>
      <c r="O115" s="58">
        <v>0.05</v>
      </c>
      <c r="P115" s="52">
        <v>161.9</v>
      </c>
      <c r="Q115" s="52">
        <f t="shared" si="52"/>
        <v>8.0950000000000006</v>
      </c>
      <c r="R115" s="52">
        <f t="shared" si="53"/>
        <v>169.995</v>
      </c>
      <c r="S115" s="9" t="s">
        <v>25</v>
      </c>
      <c r="T115" s="10" t="s">
        <v>7</v>
      </c>
      <c r="U115" s="11" t="s">
        <v>25</v>
      </c>
      <c r="V115" s="36" t="s">
        <v>25</v>
      </c>
      <c r="W115" s="40" t="s">
        <v>264</v>
      </c>
      <c r="X115" s="41" t="s">
        <v>198</v>
      </c>
      <c r="Z115" s="46"/>
      <c r="AA115" s="46"/>
      <c r="AB115" s="46"/>
    </row>
    <row r="116" spans="1:28" s="32" customFormat="1" ht="18" customHeight="1" x14ac:dyDescent="0.4">
      <c r="A116" s="8">
        <v>119</v>
      </c>
      <c r="B116" s="5" t="s">
        <v>30</v>
      </c>
      <c r="C116" s="12" t="s">
        <v>32</v>
      </c>
      <c r="D116" s="9" t="s">
        <v>41</v>
      </c>
      <c r="E116" s="87" t="s">
        <v>107</v>
      </c>
      <c r="F116" s="87">
        <v>1</v>
      </c>
      <c r="G116" s="29">
        <v>1967</v>
      </c>
      <c r="H116" s="60">
        <v>0.5</v>
      </c>
      <c r="I116" s="65">
        <v>0.05</v>
      </c>
      <c r="J116" s="68">
        <v>936.67</v>
      </c>
      <c r="K116" s="68">
        <f>+I116*J116</f>
        <v>46.833500000000001</v>
      </c>
      <c r="L116" s="68">
        <f t="shared" ref="L116" si="54">+J116+K116</f>
        <v>983.50349999999992</v>
      </c>
      <c r="M116" s="6">
        <v>1377</v>
      </c>
      <c r="N116" s="6">
        <v>1377</v>
      </c>
      <c r="O116" s="58">
        <v>0.05</v>
      </c>
      <c r="P116" s="51">
        <f t="shared" ref="P116" si="55">+N116*0.952380952380952</f>
        <v>1311.4285714285709</v>
      </c>
      <c r="Q116" s="51">
        <f t="shared" si="52"/>
        <v>65.571428571428541</v>
      </c>
      <c r="R116" s="51">
        <f t="shared" si="53"/>
        <v>1376.9999999999993</v>
      </c>
      <c r="S116" s="10" t="s">
        <v>135</v>
      </c>
      <c r="T116" s="10" t="s">
        <v>7</v>
      </c>
      <c r="U116" s="36" t="s">
        <v>152</v>
      </c>
      <c r="V116" s="36" t="s">
        <v>152</v>
      </c>
      <c r="W116" s="40" t="s">
        <v>153</v>
      </c>
      <c r="X116" s="41" t="s">
        <v>155</v>
      </c>
      <c r="Z116" s="46"/>
      <c r="AA116" s="46"/>
      <c r="AB116" s="46"/>
    </row>
    <row r="117" spans="1:28" s="32" customFormat="1" ht="18" customHeight="1" x14ac:dyDescent="0.4">
      <c r="A117" s="8">
        <v>120</v>
      </c>
      <c r="B117" s="5" t="s">
        <v>30</v>
      </c>
      <c r="C117" s="12" t="s">
        <v>32</v>
      </c>
      <c r="D117" s="9" t="s">
        <v>4</v>
      </c>
      <c r="E117" s="88" t="s">
        <v>116</v>
      </c>
      <c r="F117" s="88">
        <v>1</v>
      </c>
      <c r="G117" s="29">
        <v>1967</v>
      </c>
      <c r="H117" s="60">
        <v>0.52</v>
      </c>
      <c r="I117" s="65">
        <v>0.05</v>
      </c>
      <c r="J117" s="68">
        <v>899.2</v>
      </c>
      <c r="K117" s="68">
        <f>+I117*J117</f>
        <v>44.960000000000008</v>
      </c>
      <c r="L117" s="68">
        <f>+J117+K117</f>
        <v>944.16000000000008</v>
      </c>
      <c r="M117" s="6">
        <v>1377</v>
      </c>
      <c r="N117" s="6">
        <v>1377</v>
      </c>
      <c r="O117" s="58">
        <v>0.05</v>
      </c>
      <c r="P117" s="51">
        <f t="shared" ref="P117" si="56">+N117*0.952380952380952</f>
        <v>1311.4285714285709</v>
      </c>
      <c r="Q117" s="51">
        <f t="shared" ref="Q117" si="57">+P117*5%</f>
        <v>65.571428571428541</v>
      </c>
      <c r="R117" s="51">
        <f t="shared" ref="R117:R118" si="58">+P117+Q117</f>
        <v>1376.9999999999993</v>
      </c>
      <c r="S117" s="10" t="s">
        <v>135</v>
      </c>
      <c r="T117" s="10" t="s">
        <v>7</v>
      </c>
      <c r="U117" s="36" t="s">
        <v>152</v>
      </c>
      <c r="V117" s="36" t="s">
        <v>152</v>
      </c>
      <c r="W117" s="40" t="s">
        <v>153</v>
      </c>
      <c r="X117" s="41" t="s">
        <v>155</v>
      </c>
      <c r="Z117" s="46"/>
      <c r="AA117" s="46"/>
      <c r="AB117" s="46"/>
    </row>
    <row r="118" spans="1:28" s="32" customFormat="1" ht="18" customHeight="1" x14ac:dyDescent="0.4">
      <c r="A118" s="8">
        <v>121</v>
      </c>
      <c r="B118" s="13" t="s">
        <v>36</v>
      </c>
      <c r="C118" s="53" t="s">
        <v>90</v>
      </c>
      <c r="D118" s="9" t="s">
        <v>16</v>
      </c>
      <c r="E118" s="87" t="s">
        <v>107</v>
      </c>
      <c r="F118" s="87">
        <v>1</v>
      </c>
      <c r="G118" s="29">
        <v>8010</v>
      </c>
      <c r="H118" s="60">
        <v>0.5</v>
      </c>
      <c r="I118" s="65">
        <v>0.18</v>
      </c>
      <c r="J118" s="68">
        <v>3394.07</v>
      </c>
      <c r="K118" s="68">
        <f>+I118*J118</f>
        <v>610.93259999999998</v>
      </c>
      <c r="L118" s="68">
        <f>+J118+K118</f>
        <v>4005.0026000000003</v>
      </c>
      <c r="M118" s="6">
        <v>4405.5</v>
      </c>
      <c r="N118" s="6">
        <v>4405.5</v>
      </c>
      <c r="O118" s="58">
        <v>0.18</v>
      </c>
      <c r="P118" s="51">
        <v>3733.4740000000002</v>
      </c>
      <c r="Q118" s="51">
        <f>+P118*18%</f>
        <v>672.02531999999997</v>
      </c>
      <c r="R118" s="51">
        <f t="shared" si="58"/>
        <v>4405.4993199999999</v>
      </c>
      <c r="S118" s="10" t="s">
        <v>141</v>
      </c>
      <c r="T118" s="10" t="s">
        <v>7</v>
      </c>
      <c r="U118" s="11" t="s">
        <v>157</v>
      </c>
      <c r="V118" s="11" t="s">
        <v>157</v>
      </c>
      <c r="W118" s="40" t="s">
        <v>269</v>
      </c>
      <c r="X118" s="92" t="s">
        <v>268</v>
      </c>
      <c r="Z118" s="46"/>
      <c r="AA118" s="46"/>
      <c r="AB118" s="46"/>
    </row>
    <row r="119" spans="1:28" s="23" customFormat="1" ht="18" customHeight="1" x14ac:dyDescent="0.4">
      <c r="A119" s="8">
        <v>122</v>
      </c>
      <c r="B119" s="25" t="s">
        <v>36</v>
      </c>
      <c r="C119" s="25" t="s">
        <v>33</v>
      </c>
      <c r="D119" s="19" t="s">
        <v>18</v>
      </c>
      <c r="E119" s="88" t="s">
        <v>116</v>
      </c>
      <c r="F119" s="88">
        <v>1</v>
      </c>
      <c r="G119" s="20">
        <v>9000</v>
      </c>
      <c r="H119" s="59">
        <v>0.52</v>
      </c>
      <c r="I119" s="63">
        <v>0.18</v>
      </c>
      <c r="J119" s="64">
        <v>3661.02</v>
      </c>
      <c r="K119" s="64">
        <f t="shared" ref="K119" si="59">+J119*I119</f>
        <v>658.98360000000002</v>
      </c>
      <c r="L119" s="64">
        <f t="shared" ref="L119:L123" si="60">+J119+K119</f>
        <v>4320.0036</v>
      </c>
      <c r="M119" s="20">
        <v>0</v>
      </c>
      <c r="N119" s="20">
        <v>0</v>
      </c>
      <c r="O119" s="90">
        <v>0.18</v>
      </c>
      <c r="P119" s="50">
        <f>+N119*0.847457627118644</f>
        <v>0</v>
      </c>
      <c r="Q119" s="50">
        <f>+P119*18%</f>
        <v>0</v>
      </c>
      <c r="R119" s="50">
        <f>+P119+Q119</f>
        <v>0</v>
      </c>
      <c r="S119" s="21" t="s">
        <v>142</v>
      </c>
      <c r="T119" s="21" t="s">
        <v>10</v>
      </c>
      <c r="U119" s="22" t="s">
        <v>15</v>
      </c>
      <c r="V119" s="35" t="s">
        <v>157</v>
      </c>
      <c r="W119" s="39" t="s">
        <v>269</v>
      </c>
      <c r="X119" s="39" t="s">
        <v>79</v>
      </c>
      <c r="Z119" s="91"/>
      <c r="AA119" s="91"/>
      <c r="AB119" s="91"/>
    </row>
    <row r="120" spans="1:28" s="32" customFormat="1" ht="18" customHeight="1" x14ac:dyDescent="0.4">
      <c r="A120" s="8">
        <v>123</v>
      </c>
      <c r="B120" s="53" t="s">
        <v>30</v>
      </c>
      <c r="C120" s="14" t="s">
        <v>31</v>
      </c>
      <c r="D120" s="9" t="s">
        <v>42</v>
      </c>
      <c r="E120" s="87" t="s">
        <v>107</v>
      </c>
      <c r="F120" s="87">
        <v>1</v>
      </c>
      <c r="G120" s="29">
        <v>1967</v>
      </c>
      <c r="H120" s="60">
        <v>0.5</v>
      </c>
      <c r="I120" s="65">
        <v>0.05</v>
      </c>
      <c r="J120" s="68">
        <v>936.67</v>
      </c>
      <c r="K120" s="68">
        <f>+I120*J120</f>
        <v>46.833500000000001</v>
      </c>
      <c r="L120" s="68">
        <f t="shared" si="60"/>
        <v>983.50349999999992</v>
      </c>
      <c r="M120" s="6">
        <v>1180.2</v>
      </c>
      <c r="N120" s="6">
        <v>1180.2</v>
      </c>
      <c r="O120" s="58">
        <v>0.05</v>
      </c>
      <c r="P120" s="51">
        <v>1124</v>
      </c>
      <c r="Q120" s="51">
        <f>+P120*5%</f>
        <v>56.2</v>
      </c>
      <c r="R120" s="51">
        <f t="shared" ref="R120:R122" si="61">+P120+Q120</f>
        <v>1180.2</v>
      </c>
      <c r="S120" s="9" t="s">
        <v>184</v>
      </c>
      <c r="T120" s="10" t="s">
        <v>10</v>
      </c>
      <c r="U120" s="11" t="s">
        <v>184</v>
      </c>
      <c r="V120" s="36" t="s">
        <v>184</v>
      </c>
      <c r="W120" s="41" t="s">
        <v>250</v>
      </c>
      <c r="X120" s="41"/>
      <c r="Z120" s="46"/>
      <c r="AA120" s="46"/>
      <c r="AB120" s="46"/>
    </row>
    <row r="121" spans="1:28" s="32" customFormat="1" ht="18" customHeight="1" x14ac:dyDescent="0.4">
      <c r="A121" s="8">
        <v>124</v>
      </c>
      <c r="B121" s="13" t="s">
        <v>36</v>
      </c>
      <c r="C121" s="53" t="s">
        <v>82</v>
      </c>
      <c r="D121" s="9" t="s">
        <v>16</v>
      </c>
      <c r="E121" s="88" t="s">
        <v>116</v>
      </c>
      <c r="F121" s="88">
        <v>1</v>
      </c>
      <c r="G121" s="29">
        <v>8010</v>
      </c>
      <c r="H121" s="60">
        <v>0.54</v>
      </c>
      <c r="I121" s="65">
        <v>0.18</v>
      </c>
      <c r="J121" s="68">
        <v>3122.54</v>
      </c>
      <c r="K121" s="68">
        <f>+I121*J121</f>
        <v>562.05719999999997</v>
      </c>
      <c r="L121" s="68">
        <f t="shared" si="60"/>
        <v>3684.5972000000002</v>
      </c>
      <c r="M121" s="6">
        <v>5206.5</v>
      </c>
      <c r="N121" s="6">
        <v>5206.5</v>
      </c>
      <c r="O121" s="58">
        <v>0.18</v>
      </c>
      <c r="P121" s="51">
        <v>4412.29</v>
      </c>
      <c r="Q121" s="51">
        <f>+P121*18%</f>
        <v>794.21219999999994</v>
      </c>
      <c r="R121" s="51">
        <f t="shared" si="61"/>
        <v>5206.5021999999999</v>
      </c>
      <c r="S121" s="10" t="s">
        <v>143</v>
      </c>
      <c r="T121" s="10" t="s">
        <v>7</v>
      </c>
      <c r="U121" s="11" t="s">
        <v>166</v>
      </c>
      <c r="V121" s="11" t="s">
        <v>166</v>
      </c>
      <c r="W121" s="41" t="s">
        <v>290</v>
      </c>
      <c r="X121" s="92" t="s">
        <v>197</v>
      </c>
      <c r="Y121" s="23" t="s">
        <v>291</v>
      </c>
      <c r="Z121" s="91"/>
      <c r="AA121" s="46"/>
      <c r="AB121" s="46"/>
    </row>
    <row r="122" spans="1:28" s="32" customFormat="1" ht="18" customHeight="1" x14ac:dyDescent="0.4">
      <c r="A122" s="180">
        <v>125</v>
      </c>
      <c r="B122" s="182" t="s">
        <v>36</v>
      </c>
      <c r="C122" s="183" t="s">
        <v>35</v>
      </c>
      <c r="D122" s="186" t="s">
        <v>42</v>
      </c>
      <c r="E122" s="87" t="s">
        <v>107</v>
      </c>
      <c r="F122" s="87">
        <v>1</v>
      </c>
      <c r="G122" s="29">
        <v>5000</v>
      </c>
      <c r="H122" s="60">
        <v>0.5</v>
      </c>
      <c r="I122" s="65">
        <v>0.18</v>
      </c>
      <c r="J122" s="68">
        <v>2118.65</v>
      </c>
      <c r="K122" s="68">
        <f t="shared" ref="K122" si="62">+I122*J122</f>
        <v>381.35700000000003</v>
      </c>
      <c r="L122" s="68">
        <f t="shared" si="60"/>
        <v>2500.0070000000001</v>
      </c>
      <c r="M122" s="6">
        <v>3500</v>
      </c>
      <c r="N122" s="6">
        <v>3500</v>
      </c>
      <c r="O122" s="58">
        <v>0.18</v>
      </c>
      <c r="P122" s="51">
        <v>2966.1</v>
      </c>
      <c r="Q122" s="51">
        <f>+P122*18%</f>
        <v>533.89799999999991</v>
      </c>
      <c r="R122" s="51">
        <f t="shared" si="61"/>
        <v>3499.9979999999996</v>
      </c>
      <c r="S122" s="10" t="s">
        <v>25</v>
      </c>
      <c r="T122" s="10" t="s">
        <v>7</v>
      </c>
      <c r="U122" s="11" t="s">
        <v>25</v>
      </c>
      <c r="V122" s="36" t="s">
        <v>25</v>
      </c>
      <c r="W122" s="40" t="s">
        <v>264</v>
      </c>
      <c r="X122" s="41" t="s">
        <v>198</v>
      </c>
      <c r="Z122" s="46"/>
      <c r="AA122" s="46"/>
      <c r="AB122" s="46"/>
    </row>
    <row r="123" spans="1:28" s="32" customFormat="1" ht="18" customHeight="1" x14ac:dyDescent="0.4">
      <c r="A123" s="8">
        <v>126</v>
      </c>
      <c r="B123" s="53" t="s">
        <v>30</v>
      </c>
      <c r="C123" s="14" t="s">
        <v>34</v>
      </c>
      <c r="D123" s="9" t="s">
        <v>41</v>
      </c>
      <c r="E123" s="87" t="s">
        <v>107</v>
      </c>
      <c r="F123" s="87">
        <v>1</v>
      </c>
      <c r="G123" s="29">
        <v>4500</v>
      </c>
      <c r="H123" s="60">
        <v>0.5</v>
      </c>
      <c r="I123" s="65">
        <v>0.18</v>
      </c>
      <c r="J123" s="68">
        <v>1906.78</v>
      </c>
      <c r="K123" s="68">
        <f>+J123*I123</f>
        <v>343.22039999999998</v>
      </c>
      <c r="L123" s="68">
        <f t="shared" si="60"/>
        <v>2250.0003999999999</v>
      </c>
      <c r="M123" s="6">
        <v>2700</v>
      </c>
      <c r="N123" s="6">
        <v>2700</v>
      </c>
      <c r="O123" s="58">
        <v>0.18</v>
      </c>
      <c r="P123" s="51">
        <f t="shared" ref="P123" si="63">+N123*0.847457627118644</f>
        <v>2288.1355932203387</v>
      </c>
      <c r="Q123" s="51">
        <f t="shared" ref="Q123" si="64">+P123*18%</f>
        <v>411.86440677966095</v>
      </c>
      <c r="R123" s="51">
        <f>+P123+Q123</f>
        <v>2699.9999999999995</v>
      </c>
      <c r="S123" s="9" t="s">
        <v>83</v>
      </c>
      <c r="T123" s="10" t="s">
        <v>7</v>
      </c>
      <c r="U123" s="11" t="s">
        <v>83</v>
      </c>
      <c r="V123" s="36" t="s">
        <v>83</v>
      </c>
      <c r="W123" s="40" t="s">
        <v>247</v>
      </c>
      <c r="X123" s="40" t="s">
        <v>246</v>
      </c>
      <c r="Z123" s="46"/>
      <c r="AA123" s="46"/>
      <c r="AB123" s="46"/>
    </row>
    <row r="124" spans="1:28" s="32" customFormat="1" ht="18" customHeight="1" x14ac:dyDescent="0.4">
      <c r="A124" s="8">
        <v>127</v>
      </c>
      <c r="B124" s="13" t="s">
        <v>36</v>
      </c>
      <c r="C124" s="13" t="s">
        <v>33</v>
      </c>
      <c r="D124" s="9" t="s">
        <v>42</v>
      </c>
      <c r="E124" s="88" t="s">
        <v>116</v>
      </c>
      <c r="F124" s="88">
        <v>1</v>
      </c>
      <c r="G124" s="29">
        <v>9000</v>
      </c>
      <c r="H124" s="60">
        <v>0.52</v>
      </c>
      <c r="I124" s="65">
        <v>0.18</v>
      </c>
      <c r="J124" s="68">
        <v>3661.0160000000001</v>
      </c>
      <c r="K124" s="68">
        <f>+J124*I124</f>
        <v>658.98288000000002</v>
      </c>
      <c r="L124" s="68">
        <f>+J124+K124</f>
        <v>4319.9988800000001</v>
      </c>
      <c r="M124" s="6">
        <v>5150</v>
      </c>
      <c r="N124" s="6">
        <v>5150</v>
      </c>
      <c r="O124" s="58">
        <v>0.18</v>
      </c>
      <c r="P124" s="51">
        <v>4364.41</v>
      </c>
      <c r="Q124" s="51">
        <f>+P124*18%</f>
        <v>785.59379999999999</v>
      </c>
      <c r="R124" s="51">
        <f>+P124+Q124</f>
        <v>5150.0037999999995</v>
      </c>
      <c r="S124" s="10" t="s">
        <v>141</v>
      </c>
      <c r="T124" s="10" t="s">
        <v>7</v>
      </c>
      <c r="U124" s="11" t="s">
        <v>157</v>
      </c>
      <c r="V124" s="36" t="s">
        <v>157</v>
      </c>
      <c r="W124" s="40" t="s">
        <v>269</v>
      </c>
      <c r="X124" s="92" t="s">
        <v>267</v>
      </c>
      <c r="Z124" s="46"/>
      <c r="AA124" s="46"/>
      <c r="AB124" s="46"/>
    </row>
    <row r="125" spans="1:28" s="32" customFormat="1" ht="18" customHeight="1" x14ac:dyDescent="0.4">
      <c r="A125" s="8">
        <v>128</v>
      </c>
      <c r="B125" s="13" t="s">
        <v>36</v>
      </c>
      <c r="C125" s="13" t="s">
        <v>33</v>
      </c>
      <c r="D125" s="9" t="s">
        <v>16</v>
      </c>
      <c r="E125" s="88" t="s">
        <v>116</v>
      </c>
      <c r="F125" s="88">
        <v>1</v>
      </c>
      <c r="G125" s="29">
        <v>9000</v>
      </c>
      <c r="H125" s="60">
        <v>0.52</v>
      </c>
      <c r="I125" s="65">
        <v>0.18</v>
      </c>
      <c r="J125" s="68">
        <v>3661.0160000000001</v>
      </c>
      <c r="K125" s="68">
        <f>+J125*I125</f>
        <v>658.98288000000002</v>
      </c>
      <c r="L125" s="68">
        <f>+J125+K125</f>
        <v>4319.9988800000001</v>
      </c>
      <c r="M125" s="6">
        <v>4207</v>
      </c>
      <c r="N125" s="6">
        <v>4207</v>
      </c>
      <c r="O125" s="58">
        <v>0.18</v>
      </c>
      <c r="P125" s="51">
        <v>3565</v>
      </c>
      <c r="Q125" s="51">
        <f>+P125*18%</f>
        <v>641.69999999999993</v>
      </c>
      <c r="R125" s="51">
        <f>+P125+Q125</f>
        <v>4206.7</v>
      </c>
      <c r="S125" s="10" t="s">
        <v>271</v>
      </c>
      <c r="T125" s="10" t="s">
        <v>7</v>
      </c>
      <c r="U125" s="11" t="s">
        <v>142</v>
      </c>
      <c r="V125" s="11" t="s">
        <v>142</v>
      </c>
      <c r="W125" s="41" t="s">
        <v>294</v>
      </c>
      <c r="X125" s="41" t="s">
        <v>192</v>
      </c>
      <c r="Y125" s="23" t="s">
        <v>147</v>
      </c>
      <c r="Z125" s="46"/>
      <c r="AA125" s="46"/>
      <c r="AB125" s="46"/>
    </row>
    <row r="126" spans="1:28" s="32" customFormat="1" ht="18" customHeight="1" x14ac:dyDescent="0.4">
      <c r="A126" s="8">
        <v>129</v>
      </c>
      <c r="B126" s="53" t="s">
        <v>30</v>
      </c>
      <c r="C126" s="14" t="s">
        <v>34</v>
      </c>
      <c r="D126" s="9" t="s">
        <v>20</v>
      </c>
      <c r="E126" s="88" t="s">
        <v>116</v>
      </c>
      <c r="F126" s="88">
        <v>1</v>
      </c>
      <c r="G126" s="29">
        <v>4500</v>
      </c>
      <c r="H126" s="60">
        <v>0.52</v>
      </c>
      <c r="I126" s="65">
        <v>0.05</v>
      </c>
      <c r="J126" s="68">
        <v>2057.1419999999998</v>
      </c>
      <c r="K126" s="68">
        <f>+I126*J126</f>
        <v>102.8571</v>
      </c>
      <c r="L126" s="68">
        <f>+J126+K126</f>
        <v>2159.9991</v>
      </c>
      <c r="M126" s="6">
        <v>3150</v>
      </c>
      <c r="N126" s="6">
        <v>3150</v>
      </c>
      <c r="O126" s="58">
        <v>0.05</v>
      </c>
      <c r="P126" s="51">
        <v>3000</v>
      </c>
      <c r="Q126" s="51">
        <f>+P126*5%</f>
        <v>150</v>
      </c>
      <c r="R126" s="51">
        <f>+P126+Q126</f>
        <v>3150</v>
      </c>
      <c r="S126" s="10" t="s">
        <v>144</v>
      </c>
      <c r="T126" s="10" t="s">
        <v>7</v>
      </c>
      <c r="U126" s="11" t="s">
        <v>144</v>
      </c>
      <c r="V126" s="36" t="s">
        <v>157</v>
      </c>
      <c r="W126" s="40" t="s">
        <v>269</v>
      </c>
      <c r="X126" s="92" t="s">
        <v>268</v>
      </c>
      <c r="Z126" s="46"/>
      <c r="AA126" s="46"/>
      <c r="AB126" s="46"/>
    </row>
    <row r="127" spans="1:28" s="32" customFormat="1" ht="18" customHeight="1" x14ac:dyDescent="0.4">
      <c r="A127" s="8">
        <v>130</v>
      </c>
      <c r="B127" s="13" t="s">
        <v>36</v>
      </c>
      <c r="C127" s="53" t="s">
        <v>35</v>
      </c>
      <c r="D127" s="9" t="s">
        <v>9</v>
      </c>
      <c r="E127" s="88" t="s">
        <v>116</v>
      </c>
      <c r="F127" s="88">
        <v>1</v>
      </c>
      <c r="G127" s="29">
        <v>5000</v>
      </c>
      <c r="H127" s="60">
        <v>0.52</v>
      </c>
      <c r="I127" s="65">
        <v>0.05</v>
      </c>
      <c r="J127" s="68">
        <v>4761.8999999999996</v>
      </c>
      <c r="K127" s="68">
        <f t="shared" ref="K127:K135" si="65">+I127*J127</f>
        <v>238.095</v>
      </c>
      <c r="L127" s="68">
        <f t="shared" ref="L127:L135" si="66">+J127+K127</f>
        <v>4999.9949999999999</v>
      </c>
      <c r="M127" s="6">
        <v>3000</v>
      </c>
      <c r="N127" s="6">
        <v>3000</v>
      </c>
      <c r="O127" s="58">
        <v>0.05</v>
      </c>
      <c r="P127" s="52">
        <v>2857.14</v>
      </c>
      <c r="Q127" s="51">
        <f t="shared" ref="Q127:Q129" si="67">+P127*5%</f>
        <v>142.857</v>
      </c>
      <c r="R127" s="51">
        <f t="shared" ref="R127:R135" si="68">+P127+Q127</f>
        <v>2999.9969999999998</v>
      </c>
      <c r="S127" s="10" t="s">
        <v>86</v>
      </c>
      <c r="T127" s="10" t="s">
        <v>7</v>
      </c>
      <c r="U127" s="11" t="s">
        <v>145</v>
      </c>
      <c r="V127" s="10" t="s">
        <v>86</v>
      </c>
      <c r="W127" s="41" t="s">
        <v>295</v>
      </c>
      <c r="X127" s="41" t="s">
        <v>158</v>
      </c>
      <c r="Z127" s="46"/>
      <c r="AA127" s="46"/>
      <c r="AB127" s="46"/>
    </row>
    <row r="128" spans="1:28" s="32" customFormat="1" ht="18" customHeight="1" x14ac:dyDescent="0.4">
      <c r="A128" s="8">
        <v>131</v>
      </c>
      <c r="B128" s="13" t="s">
        <v>36</v>
      </c>
      <c r="C128" s="53" t="s">
        <v>35</v>
      </c>
      <c r="D128" s="9" t="s">
        <v>20</v>
      </c>
      <c r="E128" s="88" t="s">
        <v>116</v>
      </c>
      <c r="F128" s="88">
        <v>1</v>
      </c>
      <c r="G128" s="29">
        <v>5000</v>
      </c>
      <c r="H128" s="60">
        <v>0.52</v>
      </c>
      <c r="I128" s="65">
        <v>0.05</v>
      </c>
      <c r="J128" s="68">
        <v>4761.8999999999996</v>
      </c>
      <c r="K128" s="68">
        <f t="shared" si="65"/>
        <v>238.095</v>
      </c>
      <c r="L128" s="68">
        <f t="shared" si="66"/>
        <v>4999.9949999999999</v>
      </c>
      <c r="M128" s="6">
        <v>3000</v>
      </c>
      <c r="N128" s="6">
        <v>3000</v>
      </c>
      <c r="O128" s="58">
        <v>0.05</v>
      </c>
      <c r="P128" s="52">
        <v>2857.14</v>
      </c>
      <c r="Q128" s="51">
        <f t="shared" si="67"/>
        <v>142.857</v>
      </c>
      <c r="R128" s="51">
        <f t="shared" si="68"/>
        <v>2999.9969999999998</v>
      </c>
      <c r="S128" s="10" t="s">
        <v>86</v>
      </c>
      <c r="T128" s="10" t="s">
        <v>7</v>
      </c>
      <c r="U128" s="11" t="s">
        <v>145</v>
      </c>
      <c r="V128" s="10" t="s">
        <v>86</v>
      </c>
      <c r="W128" s="41" t="s">
        <v>295</v>
      </c>
      <c r="X128" s="41" t="s">
        <v>158</v>
      </c>
      <c r="Z128" s="46"/>
      <c r="AA128" s="46"/>
      <c r="AB128" s="46"/>
    </row>
    <row r="129" spans="1:28" s="32" customFormat="1" ht="18" customHeight="1" x14ac:dyDescent="0.4">
      <c r="A129" s="8">
        <v>132</v>
      </c>
      <c r="B129" s="13" t="s">
        <v>36</v>
      </c>
      <c r="C129" s="53" t="s">
        <v>35</v>
      </c>
      <c r="D129" s="9" t="s">
        <v>20</v>
      </c>
      <c r="E129" s="88" t="s">
        <v>116</v>
      </c>
      <c r="F129" s="88">
        <v>1</v>
      </c>
      <c r="G129" s="29">
        <v>5000</v>
      </c>
      <c r="H129" s="60">
        <v>0.52</v>
      </c>
      <c r="I129" s="65">
        <v>0.05</v>
      </c>
      <c r="J129" s="68">
        <v>4761.8999999999996</v>
      </c>
      <c r="K129" s="68">
        <f t="shared" si="65"/>
        <v>238.095</v>
      </c>
      <c r="L129" s="68">
        <f t="shared" si="66"/>
        <v>4999.9949999999999</v>
      </c>
      <c r="M129" s="6">
        <v>3000</v>
      </c>
      <c r="N129" s="6">
        <v>3000</v>
      </c>
      <c r="O129" s="58">
        <v>0.05</v>
      </c>
      <c r="P129" s="52">
        <v>2857.14</v>
      </c>
      <c r="Q129" s="51">
        <f t="shared" si="67"/>
        <v>142.857</v>
      </c>
      <c r="R129" s="51">
        <f t="shared" si="68"/>
        <v>2999.9969999999998</v>
      </c>
      <c r="S129" s="10" t="s">
        <v>86</v>
      </c>
      <c r="T129" s="10" t="s">
        <v>7</v>
      </c>
      <c r="U129" s="11" t="s">
        <v>145</v>
      </c>
      <c r="V129" s="10" t="s">
        <v>86</v>
      </c>
      <c r="W129" s="41" t="s">
        <v>295</v>
      </c>
      <c r="X129" s="41" t="s">
        <v>158</v>
      </c>
      <c r="Z129" s="46"/>
      <c r="AA129" s="46"/>
      <c r="AB129" s="46"/>
    </row>
    <row r="130" spans="1:28" s="32" customFormat="1" ht="18" customHeight="1" x14ac:dyDescent="0.4">
      <c r="A130" s="8">
        <v>133</v>
      </c>
      <c r="B130" s="44" t="s">
        <v>93</v>
      </c>
      <c r="C130" s="44" t="s">
        <v>128</v>
      </c>
      <c r="D130" s="9" t="s">
        <v>20</v>
      </c>
      <c r="E130" s="87" t="s">
        <v>107</v>
      </c>
      <c r="F130" s="87">
        <v>1</v>
      </c>
      <c r="G130" s="29">
        <v>6500</v>
      </c>
      <c r="H130" s="60">
        <v>0.5</v>
      </c>
      <c r="I130" s="65">
        <v>0.18</v>
      </c>
      <c r="J130" s="68">
        <v>5508.47</v>
      </c>
      <c r="K130" s="68">
        <f t="shared" si="65"/>
        <v>991.52459999999996</v>
      </c>
      <c r="L130" s="68">
        <f t="shared" si="66"/>
        <v>6499.9946</v>
      </c>
      <c r="M130" s="6">
        <v>3900</v>
      </c>
      <c r="N130" s="6">
        <v>3900</v>
      </c>
      <c r="O130" s="58">
        <v>0.18</v>
      </c>
      <c r="P130" s="51">
        <v>3305.09</v>
      </c>
      <c r="Q130" s="51">
        <f>+P130*18%</f>
        <v>594.9162</v>
      </c>
      <c r="R130" s="51">
        <f t="shared" si="68"/>
        <v>3900.0062000000003</v>
      </c>
      <c r="S130" s="10" t="s">
        <v>86</v>
      </c>
      <c r="T130" s="10" t="s">
        <v>7</v>
      </c>
      <c r="U130" s="11" t="s">
        <v>145</v>
      </c>
      <c r="V130" s="10" t="s">
        <v>86</v>
      </c>
      <c r="W130" s="41" t="s">
        <v>295</v>
      </c>
      <c r="X130" s="41" t="s">
        <v>158</v>
      </c>
      <c r="Z130" s="46"/>
      <c r="AA130" s="46"/>
      <c r="AB130" s="46"/>
    </row>
    <row r="131" spans="1:28" s="32" customFormat="1" ht="18" customHeight="1" x14ac:dyDescent="0.4">
      <c r="A131" s="8">
        <v>134</v>
      </c>
      <c r="B131" s="5" t="s">
        <v>134</v>
      </c>
      <c r="C131" s="5"/>
      <c r="D131" s="9"/>
      <c r="E131" s="88" t="s">
        <v>116</v>
      </c>
      <c r="F131" s="88">
        <v>1</v>
      </c>
      <c r="G131" s="29">
        <v>243</v>
      </c>
      <c r="H131" s="60">
        <v>0.52</v>
      </c>
      <c r="I131" s="65">
        <v>0.05</v>
      </c>
      <c r="J131" s="68">
        <v>111.09</v>
      </c>
      <c r="K131" s="68">
        <f t="shared" si="65"/>
        <v>5.5545000000000009</v>
      </c>
      <c r="L131" s="68">
        <f t="shared" si="66"/>
        <v>116.64450000000001</v>
      </c>
      <c r="M131" s="29">
        <v>146</v>
      </c>
      <c r="N131" s="29">
        <v>146</v>
      </c>
      <c r="O131" s="58">
        <v>0.05</v>
      </c>
      <c r="P131" s="52">
        <v>139.05000000000001</v>
      </c>
      <c r="Q131" s="52">
        <f>+P131*5%</f>
        <v>6.9525000000000006</v>
      </c>
      <c r="R131" s="52">
        <f t="shared" si="68"/>
        <v>146.0025</v>
      </c>
      <c r="S131" s="10" t="s">
        <v>86</v>
      </c>
      <c r="T131" s="10" t="s">
        <v>10</v>
      </c>
      <c r="U131" s="11" t="s">
        <v>145</v>
      </c>
      <c r="V131" s="11" t="s">
        <v>145</v>
      </c>
      <c r="W131" s="41" t="s">
        <v>295</v>
      </c>
      <c r="X131" s="41"/>
      <c r="Z131" s="46"/>
      <c r="AA131" s="46"/>
      <c r="AB131" s="46"/>
    </row>
    <row r="132" spans="1:28" s="32" customFormat="1" ht="18" customHeight="1" x14ac:dyDescent="0.4">
      <c r="A132" s="8">
        <v>135</v>
      </c>
      <c r="B132" s="5" t="s">
        <v>134</v>
      </c>
      <c r="C132" s="5"/>
      <c r="D132" s="9"/>
      <c r="E132" s="88" t="s">
        <v>116</v>
      </c>
      <c r="F132" s="88">
        <v>1</v>
      </c>
      <c r="G132" s="29">
        <v>243</v>
      </c>
      <c r="H132" s="60">
        <v>0.52</v>
      </c>
      <c r="I132" s="65">
        <v>0.05</v>
      </c>
      <c r="J132" s="68">
        <v>111.09</v>
      </c>
      <c r="K132" s="68">
        <f t="shared" si="65"/>
        <v>5.5545000000000009</v>
      </c>
      <c r="L132" s="68">
        <f t="shared" si="66"/>
        <v>116.64450000000001</v>
      </c>
      <c r="M132" s="29">
        <v>146</v>
      </c>
      <c r="N132" s="29">
        <v>146</v>
      </c>
      <c r="O132" s="58">
        <v>0.05</v>
      </c>
      <c r="P132" s="52">
        <v>139.05000000000001</v>
      </c>
      <c r="Q132" s="52">
        <f>+P132*5%</f>
        <v>6.9525000000000006</v>
      </c>
      <c r="R132" s="52">
        <f t="shared" si="68"/>
        <v>146.0025</v>
      </c>
      <c r="S132" s="10" t="s">
        <v>86</v>
      </c>
      <c r="T132" s="10" t="s">
        <v>10</v>
      </c>
      <c r="U132" s="11" t="s">
        <v>145</v>
      </c>
      <c r="V132" s="11" t="s">
        <v>145</v>
      </c>
      <c r="W132" s="41" t="s">
        <v>295</v>
      </c>
      <c r="X132" s="41"/>
      <c r="Z132" s="46"/>
      <c r="AA132" s="46"/>
      <c r="AB132" s="46"/>
    </row>
    <row r="133" spans="1:28" s="32" customFormat="1" ht="18" customHeight="1" x14ac:dyDescent="0.4">
      <c r="A133" s="8">
        <v>136</v>
      </c>
      <c r="B133" s="5" t="s">
        <v>134</v>
      </c>
      <c r="C133" s="5"/>
      <c r="D133" s="9"/>
      <c r="E133" s="88" t="s">
        <v>116</v>
      </c>
      <c r="F133" s="88">
        <v>1</v>
      </c>
      <c r="G133" s="29">
        <v>243</v>
      </c>
      <c r="H133" s="60">
        <v>0.52</v>
      </c>
      <c r="I133" s="65">
        <v>0.05</v>
      </c>
      <c r="J133" s="68">
        <v>111.09</v>
      </c>
      <c r="K133" s="68">
        <f t="shared" si="65"/>
        <v>5.5545000000000009</v>
      </c>
      <c r="L133" s="68">
        <f t="shared" si="66"/>
        <v>116.64450000000001</v>
      </c>
      <c r="M133" s="29">
        <v>162</v>
      </c>
      <c r="N133" s="29">
        <v>162</v>
      </c>
      <c r="O133" s="58">
        <v>0.05</v>
      </c>
      <c r="P133" s="52">
        <v>154.285</v>
      </c>
      <c r="Q133" s="52">
        <f>+P133*5%</f>
        <v>7.7142499999999998</v>
      </c>
      <c r="R133" s="52">
        <f t="shared" si="68"/>
        <v>161.99924999999999</v>
      </c>
      <c r="S133" s="10" t="s">
        <v>86</v>
      </c>
      <c r="T133" s="10" t="s">
        <v>10</v>
      </c>
      <c r="U133" s="11" t="s">
        <v>145</v>
      </c>
      <c r="V133" s="11" t="s">
        <v>145</v>
      </c>
      <c r="W133" s="41" t="s">
        <v>295</v>
      </c>
      <c r="X133" s="41"/>
      <c r="Z133" s="46"/>
      <c r="AA133" s="46"/>
      <c r="AB133" s="46"/>
    </row>
    <row r="134" spans="1:28" s="32" customFormat="1" ht="18" customHeight="1" x14ac:dyDescent="0.4">
      <c r="A134" s="8">
        <v>137</v>
      </c>
      <c r="B134" s="5" t="s">
        <v>134</v>
      </c>
      <c r="C134" s="5"/>
      <c r="D134" s="9"/>
      <c r="E134" s="88" t="s">
        <v>116</v>
      </c>
      <c r="F134" s="88">
        <v>1</v>
      </c>
      <c r="G134" s="29">
        <v>243</v>
      </c>
      <c r="H134" s="60">
        <v>0.52</v>
      </c>
      <c r="I134" s="65">
        <v>0.05</v>
      </c>
      <c r="J134" s="68">
        <v>111.09</v>
      </c>
      <c r="K134" s="68">
        <f t="shared" si="65"/>
        <v>5.5545000000000009</v>
      </c>
      <c r="L134" s="68">
        <f t="shared" si="66"/>
        <v>116.64450000000001</v>
      </c>
      <c r="M134" s="29">
        <v>162</v>
      </c>
      <c r="N134" s="29">
        <v>162</v>
      </c>
      <c r="O134" s="58">
        <v>0.05</v>
      </c>
      <c r="P134" s="52">
        <v>154.285</v>
      </c>
      <c r="Q134" s="52">
        <f t="shared" ref="Q134:Q135" si="69">+P134*5%</f>
        <v>7.7142499999999998</v>
      </c>
      <c r="R134" s="52">
        <f t="shared" si="68"/>
        <v>161.99924999999999</v>
      </c>
      <c r="S134" s="10" t="s">
        <v>86</v>
      </c>
      <c r="T134" s="10" t="s">
        <v>10</v>
      </c>
      <c r="U134" s="11" t="s">
        <v>145</v>
      </c>
      <c r="V134" s="11" t="s">
        <v>145</v>
      </c>
      <c r="W134" s="41" t="s">
        <v>295</v>
      </c>
      <c r="X134" s="41"/>
      <c r="Z134" s="46"/>
      <c r="AA134" s="46"/>
      <c r="AB134" s="46"/>
    </row>
    <row r="135" spans="1:28" s="32" customFormat="1" ht="18" customHeight="1" x14ac:dyDescent="0.4">
      <c r="A135" s="8">
        <v>138</v>
      </c>
      <c r="B135" s="5" t="s">
        <v>134</v>
      </c>
      <c r="C135" s="5"/>
      <c r="D135" s="9"/>
      <c r="E135" s="88" t="s">
        <v>116</v>
      </c>
      <c r="F135" s="88">
        <v>1</v>
      </c>
      <c r="G135" s="29">
        <v>243</v>
      </c>
      <c r="H135" s="60">
        <v>0.52</v>
      </c>
      <c r="I135" s="65">
        <v>0.05</v>
      </c>
      <c r="J135" s="68">
        <v>111.09</v>
      </c>
      <c r="K135" s="68">
        <f t="shared" si="65"/>
        <v>5.5545000000000009</v>
      </c>
      <c r="L135" s="68">
        <f t="shared" si="66"/>
        <v>116.64450000000001</v>
      </c>
      <c r="M135" s="29">
        <v>162</v>
      </c>
      <c r="N135" s="29">
        <v>162</v>
      </c>
      <c r="O135" s="58">
        <v>0.05</v>
      </c>
      <c r="P135" s="52">
        <v>154.285</v>
      </c>
      <c r="Q135" s="52">
        <f t="shared" si="69"/>
        <v>7.7142499999999998</v>
      </c>
      <c r="R135" s="52">
        <f t="shared" si="68"/>
        <v>161.99924999999999</v>
      </c>
      <c r="S135" s="10" t="s">
        <v>86</v>
      </c>
      <c r="T135" s="10" t="s">
        <v>10</v>
      </c>
      <c r="U135" s="11" t="s">
        <v>145</v>
      </c>
      <c r="V135" s="11" t="s">
        <v>145</v>
      </c>
      <c r="W135" s="41" t="s">
        <v>295</v>
      </c>
      <c r="X135" s="41"/>
      <c r="Z135" s="46"/>
      <c r="AA135" s="46"/>
      <c r="AB135" s="46"/>
    </row>
    <row r="136" spans="1:28" s="32" customFormat="1" ht="18" customHeight="1" x14ac:dyDescent="0.4">
      <c r="A136" s="8">
        <v>139</v>
      </c>
      <c r="B136" s="53" t="s">
        <v>30</v>
      </c>
      <c r="C136" s="14" t="s">
        <v>34</v>
      </c>
      <c r="D136" s="9" t="s">
        <v>20</v>
      </c>
      <c r="E136" s="88" t="s">
        <v>116</v>
      </c>
      <c r="F136" s="88">
        <v>1</v>
      </c>
      <c r="G136" s="29">
        <v>4500</v>
      </c>
      <c r="H136" s="60">
        <v>0.52</v>
      </c>
      <c r="I136" s="65">
        <v>0.05</v>
      </c>
      <c r="J136" s="68">
        <v>2057.1419999999998</v>
      </c>
      <c r="K136" s="68">
        <f>+I136*J136</f>
        <v>102.8571</v>
      </c>
      <c r="L136" s="68">
        <f>+J136+K136</f>
        <v>2159.9991</v>
      </c>
      <c r="M136" s="6">
        <v>3150</v>
      </c>
      <c r="N136" s="6">
        <v>3150</v>
      </c>
      <c r="O136" s="58">
        <v>0.05</v>
      </c>
      <c r="P136" s="51">
        <v>3000</v>
      </c>
      <c r="Q136" s="51">
        <f>+P136*5%</f>
        <v>150</v>
      </c>
      <c r="R136" s="51">
        <f>+P136+Q136</f>
        <v>3150</v>
      </c>
      <c r="S136" s="9" t="s">
        <v>146</v>
      </c>
      <c r="T136" s="10" t="s">
        <v>7</v>
      </c>
      <c r="U136" s="11" t="s">
        <v>146</v>
      </c>
      <c r="V136" s="11" t="s">
        <v>146</v>
      </c>
      <c r="W136" s="41" t="s">
        <v>293</v>
      </c>
      <c r="X136" s="41" t="s">
        <v>243</v>
      </c>
      <c r="Z136" s="46"/>
      <c r="AA136" s="46"/>
      <c r="AB136" s="46"/>
    </row>
    <row r="137" spans="1:28" s="32" customFormat="1" ht="18" customHeight="1" x14ac:dyDescent="0.4">
      <c r="A137" s="8">
        <v>140</v>
      </c>
      <c r="B137" s="53" t="s">
        <v>30</v>
      </c>
      <c r="C137" s="14" t="s">
        <v>34</v>
      </c>
      <c r="D137" s="9" t="s">
        <v>20</v>
      </c>
      <c r="E137" s="88" t="s">
        <v>116</v>
      </c>
      <c r="F137" s="88">
        <v>1</v>
      </c>
      <c r="G137" s="29">
        <v>4500</v>
      </c>
      <c r="H137" s="60">
        <v>0.52</v>
      </c>
      <c r="I137" s="65">
        <v>0.05</v>
      </c>
      <c r="J137" s="68">
        <v>2057.1419999999998</v>
      </c>
      <c r="K137" s="68">
        <f>+I137*J137</f>
        <v>102.8571</v>
      </c>
      <c r="L137" s="68">
        <f>+J137+K137</f>
        <v>2159.9991</v>
      </c>
      <c r="M137" s="6">
        <v>2700</v>
      </c>
      <c r="N137" s="6">
        <v>2700</v>
      </c>
      <c r="O137" s="58">
        <v>0.05</v>
      </c>
      <c r="P137" s="51">
        <v>2571.4299999999998</v>
      </c>
      <c r="Q137" s="51">
        <f>+P137*5%</f>
        <v>128.57149999999999</v>
      </c>
      <c r="R137" s="51">
        <f>+P137+Q137</f>
        <v>2700.0014999999999</v>
      </c>
      <c r="S137" s="9" t="s">
        <v>159</v>
      </c>
      <c r="T137" s="10" t="s">
        <v>7</v>
      </c>
      <c r="U137" s="11" t="s">
        <v>142</v>
      </c>
      <c r="V137" s="11" t="s">
        <v>142</v>
      </c>
      <c r="W137" s="41" t="s">
        <v>294</v>
      </c>
      <c r="X137" s="41" t="s">
        <v>193</v>
      </c>
      <c r="Z137" s="46"/>
      <c r="AA137" s="46"/>
      <c r="AB137" s="46"/>
    </row>
    <row r="138" spans="1:28" s="32" customFormat="1" ht="18" customHeight="1" x14ac:dyDescent="0.4">
      <c r="A138" s="8">
        <v>141</v>
      </c>
      <c r="B138" s="13" t="s">
        <v>36</v>
      </c>
      <c r="C138" s="13" t="s">
        <v>33</v>
      </c>
      <c r="D138" s="9" t="s">
        <v>20</v>
      </c>
      <c r="E138" s="88" t="s">
        <v>116</v>
      </c>
      <c r="F138" s="88">
        <v>1</v>
      </c>
      <c r="G138" s="29">
        <v>9000</v>
      </c>
      <c r="H138" s="60">
        <v>0.52</v>
      </c>
      <c r="I138" s="65">
        <v>0.18</v>
      </c>
      <c r="J138" s="68">
        <v>3661.0160000000001</v>
      </c>
      <c r="K138" s="68">
        <f>+J138*I138</f>
        <v>658.98288000000002</v>
      </c>
      <c r="L138" s="68">
        <f>+J138+K138</f>
        <v>4319.9988800000001</v>
      </c>
      <c r="M138" s="6">
        <v>4207</v>
      </c>
      <c r="N138" s="6">
        <v>4207</v>
      </c>
      <c r="O138" s="58">
        <v>0.18</v>
      </c>
      <c r="P138" s="51">
        <v>3565</v>
      </c>
      <c r="Q138" s="51">
        <f>+P138*18%</f>
        <v>641.69999999999993</v>
      </c>
      <c r="R138" s="51">
        <f>+P138+Q138</f>
        <v>4206.7</v>
      </c>
      <c r="S138" s="10" t="s">
        <v>271</v>
      </c>
      <c r="T138" s="10" t="s">
        <v>7</v>
      </c>
      <c r="U138" s="11" t="s">
        <v>142</v>
      </c>
      <c r="V138" s="11" t="s">
        <v>142</v>
      </c>
      <c r="W138" s="41" t="s">
        <v>294</v>
      </c>
      <c r="X138" s="92" t="s">
        <v>191</v>
      </c>
      <c r="Y138" s="23" t="s">
        <v>147</v>
      </c>
      <c r="Z138" s="46"/>
      <c r="AA138" s="46"/>
      <c r="AB138" s="46"/>
    </row>
    <row r="139" spans="1:28" s="32" customFormat="1" ht="18" customHeight="1" x14ac:dyDescent="0.4">
      <c r="A139" s="8">
        <v>142</v>
      </c>
      <c r="B139" s="53" t="s">
        <v>30</v>
      </c>
      <c r="C139" s="14" t="s">
        <v>31</v>
      </c>
      <c r="D139" s="9" t="s">
        <v>18</v>
      </c>
      <c r="E139" s="87" t="s">
        <v>107</v>
      </c>
      <c r="F139" s="87">
        <v>1</v>
      </c>
      <c r="G139" s="29">
        <v>1967</v>
      </c>
      <c r="H139" s="60">
        <v>0.5</v>
      </c>
      <c r="I139" s="65">
        <v>0.05</v>
      </c>
      <c r="J139" s="68">
        <v>936.67</v>
      </c>
      <c r="K139" s="68">
        <f>+I139*J139</f>
        <v>46.833500000000001</v>
      </c>
      <c r="L139" s="68">
        <f t="shared" ref="L139" si="70">+J139+K139</f>
        <v>983.50349999999992</v>
      </c>
      <c r="M139" s="6">
        <v>1180.2</v>
      </c>
      <c r="N139" s="6">
        <v>1180.2</v>
      </c>
      <c r="O139" s="58">
        <v>0.05</v>
      </c>
      <c r="P139" s="51">
        <v>1124</v>
      </c>
      <c r="Q139" s="51">
        <f>+P139*5%</f>
        <v>56.2</v>
      </c>
      <c r="R139" s="51">
        <f t="shared" ref="R139" si="71">+P139+Q139</f>
        <v>1180.2</v>
      </c>
      <c r="S139" s="10" t="s">
        <v>271</v>
      </c>
      <c r="T139" s="10" t="s">
        <v>7</v>
      </c>
      <c r="U139" s="11" t="s">
        <v>142</v>
      </c>
      <c r="V139" s="11" t="s">
        <v>142</v>
      </c>
      <c r="W139" s="41" t="s">
        <v>294</v>
      </c>
      <c r="X139" s="41" t="s">
        <v>272</v>
      </c>
      <c r="Z139" s="46"/>
      <c r="AA139" s="46"/>
      <c r="AB139" s="46"/>
    </row>
    <row r="140" spans="1:28" s="32" customFormat="1" ht="18" customHeight="1" x14ac:dyDescent="0.4">
      <c r="A140" s="8">
        <v>143</v>
      </c>
      <c r="B140" s="5" t="s">
        <v>30</v>
      </c>
      <c r="C140" s="12" t="s">
        <v>31</v>
      </c>
      <c r="D140" s="9" t="s">
        <v>16</v>
      </c>
      <c r="E140" s="87" t="s">
        <v>107</v>
      </c>
      <c r="F140" s="87">
        <v>1</v>
      </c>
      <c r="G140" s="29">
        <v>1967</v>
      </c>
      <c r="H140" s="60">
        <v>0.5</v>
      </c>
      <c r="I140" s="65">
        <v>0.05</v>
      </c>
      <c r="J140" s="68">
        <v>936.67</v>
      </c>
      <c r="K140" s="68">
        <f t="shared" ref="K140:K149" si="72">+I140*J140</f>
        <v>46.833500000000001</v>
      </c>
      <c r="L140" s="68">
        <f t="shared" ref="L140" si="73">+J140+K140</f>
        <v>983.50349999999992</v>
      </c>
      <c r="M140" s="29">
        <v>1180</v>
      </c>
      <c r="N140" s="29">
        <v>1180</v>
      </c>
      <c r="O140" s="58">
        <v>0.05</v>
      </c>
      <c r="P140" s="51">
        <f>+N140*0.952380952380952</f>
        <v>1123.8095238095234</v>
      </c>
      <c r="Q140" s="51">
        <f>+P140*5%</f>
        <v>56.190476190476176</v>
      </c>
      <c r="R140" s="51">
        <f t="shared" ref="R140:R141" si="74">+P140+Q140</f>
        <v>1179.9999999999995</v>
      </c>
      <c r="S140" s="9" t="s">
        <v>92</v>
      </c>
      <c r="T140" s="10" t="s">
        <v>10</v>
      </c>
      <c r="U140" s="11" t="s">
        <v>184</v>
      </c>
      <c r="V140" s="36" t="s">
        <v>184</v>
      </c>
      <c r="W140" s="41" t="s">
        <v>250</v>
      </c>
      <c r="X140" s="41"/>
      <c r="Z140" s="46"/>
      <c r="AA140" s="46"/>
      <c r="AB140" s="46"/>
    </row>
    <row r="141" spans="1:28" s="32" customFormat="1" ht="18" customHeight="1" x14ac:dyDescent="0.4">
      <c r="A141" s="8">
        <v>144</v>
      </c>
      <c r="B141" s="13" t="s">
        <v>36</v>
      </c>
      <c r="C141" s="13" t="s">
        <v>33</v>
      </c>
      <c r="D141" s="9" t="s">
        <v>16</v>
      </c>
      <c r="E141" s="88" t="s">
        <v>116</v>
      </c>
      <c r="F141" s="88">
        <v>1</v>
      </c>
      <c r="G141" s="29">
        <v>9000</v>
      </c>
      <c r="H141" s="60">
        <v>0.52</v>
      </c>
      <c r="I141" s="65">
        <v>0.18</v>
      </c>
      <c r="J141" s="68">
        <v>3661.02</v>
      </c>
      <c r="K141" s="68">
        <f t="shared" si="72"/>
        <v>658.98360000000002</v>
      </c>
      <c r="L141" s="68">
        <f>+J141+K141</f>
        <v>4320.0036</v>
      </c>
      <c r="M141" s="6">
        <v>5400</v>
      </c>
      <c r="N141" s="6">
        <v>5400</v>
      </c>
      <c r="O141" s="58">
        <v>0.18</v>
      </c>
      <c r="P141" s="51">
        <f t="shared" ref="P141" si="75">+N141*0.847457627118644</f>
        <v>4576.2711864406774</v>
      </c>
      <c r="Q141" s="51">
        <f>+P141*18%</f>
        <v>823.72881355932191</v>
      </c>
      <c r="R141" s="51">
        <f t="shared" si="74"/>
        <v>5399.9999999999991</v>
      </c>
      <c r="S141" s="9" t="s">
        <v>85</v>
      </c>
      <c r="T141" s="10" t="s">
        <v>7</v>
      </c>
      <c r="U141" s="11" t="s">
        <v>85</v>
      </c>
      <c r="V141" s="11" t="s">
        <v>85</v>
      </c>
      <c r="W141" s="41" t="s">
        <v>293</v>
      </c>
      <c r="X141" s="41" t="s">
        <v>167</v>
      </c>
      <c r="Z141" s="46"/>
      <c r="AA141" s="46"/>
      <c r="AB141" s="46"/>
    </row>
    <row r="142" spans="1:28" s="32" customFormat="1" ht="18" customHeight="1" x14ac:dyDescent="0.4">
      <c r="A142" s="8">
        <v>145</v>
      </c>
      <c r="B142" s="53" t="s">
        <v>30</v>
      </c>
      <c r="C142" s="12" t="s">
        <v>32</v>
      </c>
      <c r="D142" s="9" t="s">
        <v>16</v>
      </c>
      <c r="E142" s="87" t="s">
        <v>107</v>
      </c>
      <c r="F142" s="87">
        <v>1</v>
      </c>
      <c r="G142" s="29">
        <v>1967</v>
      </c>
      <c r="H142" s="60">
        <v>0.5</v>
      </c>
      <c r="I142" s="65">
        <v>0.05</v>
      </c>
      <c r="J142" s="68">
        <v>936.67</v>
      </c>
      <c r="K142" s="68">
        <f t="shared" si="72"/>
        <v>46.833500000000001</v>
      </c>
      <c r="L142" s="68">
        <f t="shared" ref="L142:L147" si="76">+J142+K142</f>
        <v>983.50349999999992</v>
      </c>
      <c r="M142" s="29">
        <v>1180</v>
      </c>
      <c r="N142" s="6">
        <v>1180</v>
      </c>
      <c r="O142" s="58">
        <v>0.05</v>
      </c>
      <c r="P142" s="51">
        <v>1123.81</v>
      </c>
      <c r="Q142" s="51">
        <f t="shared" ref="Q142:Q149" si="77">+P142*5%</f>
        <v>56.1905</v>
      </c>
      <c r="R142" s="51">
        <f t="shared" ref="R142" si="78">+P142+Q142</f>
        <v>1180.0004999999999</v>
      </c>
      <c r="S142" s="10" t="s">
        <v>160</v>
      </c>
      <c r="T142" s="10" t="s">
        <v>7</v>
      </c>
      <c r="U142" s="11" t="s">
        <v>142</v>
      </c>
      <c r="V142" s="36" t="s">
        <v>142</v>
      </c>
      <c r="W142" s="41" t="s">
        <v>294</v>
      </c>
      <c r="X142" s="41" t="s">
        <v>272</v>
      </c>
      <c r="Z142" s="46"/>
      <c r="AA142" s="46"/>
      <c r="AB142" s="46"/>
    </row>
    <row r="143" spans="1:28" s="32" customFormat="1" ht="18" customHeight="1" x14ac:dyDescent="0.4">
      <c r="A143" s="8">
        <v>146</v>
      </c>
      <c r="B143" s="53" t="s">
        <v>30</v>
      </c>
      <c r="C143" s="5" t="s">
        <v>112</v>
      </c>
      <c r="D143" s="9" t="s">
        <v>42</v>
      </c>
      <c r="E143" s="88" t="s">
        <v>116</v>
      </c>
      <c r="F143" s="88">
        <v>1</v>
      </c>
      <c r="G143" s="29">
        <v>2999</v>
      </c>
      <c r="H143" s="60">
        <v>0.52</v>
      </c>
      <c r="I143" s="65">
        <v>0.05</v>
      </c>
      <c r="J143" s="68">
        <v>1370.97</v>
      </c>
      <c r="K143" s="68">
        <f t="shared" si="72"/>
        <v>68.548500000000004</v>
      </c>
      <c r="L143" s="68">
        <f t="shared" si="76"/>
        <v>1439.5185000000001</v>
      </c>
      <c r="M143" s="6">
        <v>2100</v>
      </c>
      <c r="N143" s="6">
        <v>2100</v>
      </c>
      <c r="O143" s="58">
        <v>0.05</v>
      </c>
      <c r="P143" s="51">
        <v>2000</v>
      </c>
      <c r="Q143" s="51">
        <f t="shared" si="77"/>
        <v>100</v>
      </c>
      <c r="R143" s="51">
        <f t="shared" ref="R143" si="79">+P143+Q143</f>
        <v>2100</v>
      </c>
      <c r="S143" s="10" t="s">
        <v>161</v>
      </c>
      <c r="T143" s="10" t="s">
        <v>6</v>
      </c>
      <c r="U143" s="11" t="s">
        <v>162</v>
      </c>
      <c r="V143" s="11" t="s">
        <v>162</v>
      </c>
      <c r="W143" s="41" t="s">
        <v>293</v>
      </c>
      <c r="X143" s="92" t="s">
        <v>196</v>
      </c>
      <c r="Z143" s="46"/>
      <c r="AA143" s="46"/>
      <c r="AB143" s="46"/>
    </row>
    <row r="144" spans="1:28" s="32" customFormat="1" ht="18" customHeight="1" x14ac:dyDescent="0.4">
      <c r="A144" s="8">
        <v>147</v>
      </c>
      <c r="B144" s="53" t="s">
        <v>30</v>
      </c>
      <c r="C144" s="5" t="s">
        <v>163</v>
      </c>
      <c r="D144" s="9" t="s">
        <v>4</v>
      </c>
      <c r="E144" s="88" t="s">
        <v>116</v>
      </c>
      <c r="F144" s="88">
        <v>1</v>
      </c>
      <c r="G144" s="29">
        <v>2999</v>
      </c>
      <c r="H144" s="60">
        <v>0.52</v>
      </c>
      <c r="I144" s="65">
        <v>0.05</v>
      </c>
      <c r="J144" s="68">
        <v>1370.97</v>
      </c>
      <c r="K144" s="68">
        <f t="shared" si="72"/>
        <v>68.548500000000004</v>
      </c>
      <c r="L144" s="68">
        <f t="shared" si="76"/>
        <v>1439.5185000000001</v>
      </c>
      <c r="M144" s="6">
        <v>1739.42</v>
      </c>
      <c r="N144" s="6">
        <v>1739.42</v>
      </c>
      <c r="O144" s="58">
        <v>0.05</v>
      </c>
      <c r="P144" s="51">
        <v>1656.59</v>
      </c>
      <c r="Q144" s="51">
        <f t="shared" si="77"/>
        <v>82.829499999999996</v>
      </c>
      <c r="R144" s="51">
        <f t="shared" ref="R144" si="80">+P144+Q144</f>
        <v>1739.4195</v>
      </c>
      <c r="S144" s="10" t="s">
        <v>164</v>
      </c>
      <c r="T144" s="10" t="s">
        <v>6</v>
      </c>
      <c r="U144" s="11" t="s">
        <v>164</v>
      </c>
      <c r="V144" s="36" t="s">
        <v>164</v>
      </c>
      <c r="W144" s="41" t="s">
        <v>249</v>
      </c>
      <c r="X144" s="92" t="s">
        <v>195</v>
      </c>
      <c r="Z144" s="46"/>
      <c r="AA144" s="46"/>
      <c r="AB144" s="46"/>
    </row>
    <row r="145" spans="1:28" s="32" customFormat="1" ht="18" customHeight="1" x14ac:dyDescent="0.4">
      <c r="A145" s="8">
        <v>148</v>
      </c>
      <c r="B145" s="53" t="s">
        <v>30</v>
      </c>
      <c r="C145" s="5" t="s">
        <v>163</v>
      </c>
      <c r="D145" s="9" t="s">
        <v>18</v>
      </c>
      <c r="E145" s="88" t="s">
        <v>116</v>
      </c>
      <c r="F145" s="88">
        <v>1</v>
      </c>
      <c r="G145" s="29">
        <v>2999</v>
      </c>
      <c r="H145" s="60">
        <v>0.52</v>
      </c>
      <c r="I145" s="65">
        <v>0.05</v>
      </c>
      <c r="J145" s="68">
        <v>1370.97</v>
      </c>
      <c r="K145" s="68">
        <f t="shared" si="72"/>
        <v>68.548500000000004</v>
      </c>
      <c r="L145" s="68">
        <f t="shared" si="76"/>
        <v>1439.5185000000001</v>
      </c>
      <c r="M145" s="6">
        <v>1739.42</v>
      </c>
      <c r="N145" s="6">
        <v>1739.42</v>
      </c>
      <c r="O145" s="58">
        <v>0.05</v>
      </c>
      <c r="P145" s="51">
        <v>1656.59</v>
      </c>
      <c r="Q145" s="51">
        <f t="shared" si="77"/>
        <v>82.829499999999996</v>
      </c>
      <c r="R145" s="51">
        <f t="shared" ref="R145:R146" si="81">+P145+Q145</f>
        <v>1739.4195</v>
      </c>
      <c r="S145" s="10" t="s">
        <v>164</v>
      </c>
      <c r="T145" s="10" t="s">
        <v>6</v>
      </c>
      <c r="U145" s="11" t="s">
        <v>164</v>
      </c>
      <c r="V145" s="36" t="s">
        <v>164</v>
      </c>
      <c r="W145" s="41" t="s">
        <v>249</v>
      </c>
      <c r="X145" s="92" t="s">
        <v>195</v>
      </c>
      <c r="Z145" s="46"/>
      <c r="AA145" s="46"/>
      <c r="AB145" s="46"/>
    </row>
    <row r="146" spans="1:28" s="32" customFormat="1" ht="18" customHeight="1" x14ac:dyDescent="0.4">
      <c r="A146" s="8">
        <v>149</v>
      </c>
      <c r="B146" s="53" t="s">
        <v>30</v>
      </c>
      <c r="C146" s="5" t="s">
        <v>112</v>
      </c>
      <c r="D146" s="9" t="s">
        <v>16</v>
      </c>
      <c r="E146" s="88" t="s">
        <v>116</v>
      </c>
      <c r="F146" s="88">
        <v>1</v>
      </c>
      <c r="G146" s="29">
        <v>2999</v>
      </c>
      <c r="H146" s="60">
        <v>0.52</v>
      </c>
      <c r="I146" s="65">
        <v>0.05</v>
      </c>
      <c r="J146" s="68">
        <v>1370.97</v>
      </c>
      <c r="K146" s="68">
        <f t="shared" ref="K146" si="82">+I146*J146</f>
        <v>68.548500000000004</v>
      </c>
      <c r="L146" s="68">
        <f t="shared" ref="L146" si="83">+J146+K146</f>
        <v>1439.5185000000001</v>
      </c>
      <c r="M146" s="6">
        <v>1739.42</v>
      </c>
      <c r="N146" s="6">
        <v>1739.42</v>
      </c>
      <c r="O146" s="58">
        <v>0.05</v>
      </c>
      <c r="P146" s="51">
        <v>1656.59</v>
      </c>
      <c r="Q146" s="51">
        <f t="shared" ref="Q146" si="84">+P146*5%</f>
        <v>82.829499999999996</v>
      </c>
      <c r="R146" s="51">
        <f t="shared" si="81"/>
        <v>1739.4195</v>
      </c>
      <c r="S146" s="10" t="s">
        <v>164</v>
      </c>
      <c r="T146" s="10" t="s">
        <v>6</v>
      </c>
      <c r="U146" s="11" t="s">
        <v>164</v>
      </c>
      <c r="V146" s="36" t="s">
        <v>164</v>
      </c>
      <c r="W146" s="41" t="s">
        <v>249</v>
      </c>
      <c r="X146" s="92" t="s">
        <v>195</v>
      </c>
      <c r="Z146" s="46"/>
      <c r="AA146" s="46"/>
      <c r="AB146" s="46"/>
    </row>
    <row r="147" spans="1:28" s="32" customFormat="1" ht="18" customHeight="1" x14ac:dyDescent="0.4">
      <c r="A147" s="8">
        <v>150</v>
      </c>
      <c r="B147" s="13" t="s">
        <v>36</v>
      </c>
      <c r="C147" s="14" t="s">
        <v>35</v>
      </c>
      <c r="D147" s="9" t="s">
        <v>42</v>
      </c>
      <c r="E147" s="88" t="s">
        <v>116</v>
      </c>
      <c r="F147" s="88">
        <v>1</v>
      </c>
      <c r="G147" s="29">
        <v>5000</v>
      </c>
      <c r="H147" s="60">
        <v>0.52</v>
      </c>
      <c r="I147" s="65">
        <v>0.05</v>
      </c>
      <c r="J147" s="68">
        <v>4761.8999999999996</v>
      </c>
      <c r="K147" s="68">
        <f t="shared" si="72"/>
        <v>238.095</v>
      </c>
      <c r="L147" s="68">
        <f t="shared" si="76"/>
        <v>4999.9949999999999</v>
      </c>
      <c r="M147" s="6">
        <v>3000</v>
      </c>
      <c r="N147" s="29">
        <v>3000</v>
      </c>
      <c r="O147" s="58">
        <v>0.05</v>
      </c>
      <c r="P147" s="52">
        <v>2857.14</v>
      </c>
      <c r="Q147" s="51">
        <f>+P147*5%</f>
        <v>142.857</v>
      </c>
      <c r="R147" s="51">
        <f>+P147+Q147</f>
        <v>2999.9969999999998</v>
      </c>
      <c r="S147" s="9" t="s">
        <v>184</v>
      </c>
      <c r="T147" s="10" t="s">
        <v>10</v>
      </c>
      <c r="U147" s="11" t="s">
        <v>184</v>
      </c>
      <c r="V147" s="36" t="s">
        <v>184</v>
      </c>
      <c r="W147" s="41" t="s">
        <v>250</v>
      </c>
      <c r="X147" s="41"/>
      <c r="Z147" s="46"/>
      <c r="AA147" s="46"/>
      <c r="AB147" s="46"/>
    </row>
    <row r="148" spans="1:28" s="32" customFormat="1" ht="18" customHeight="1" x14ac:dyDescent="0.4">
      <c r="A148" s="8">
        <v>151</v>
      </c>
      <c r="B148" s="53" t="s">
        <v>30</v>
      </c>
      <c r="C148" s="5" t="s">
        <v>31</v>
      </c>
      <c r="D148" s="9" t="s">
        <v>20</v>
      </c>
      <c r="E148" s="87" t="s">
        <v>107</v>
      </c>
      <c r="F148" s="87">
        <v>1</v>
      </c>
      <c r="G148" s="29">
        <v>1967</v>
      </c>
      <c r="H148" s="60">
        <v>0.5</v>
      </c>
      <c r="I148" s="65">
        <v>0.05</v>
      </c>
      <c r="J148" s="68">
        <v>936.67</v>
      </c>
      <c r="K148" s="68">
        <f t="shared" si="72"/>
        <v>46.833500000000001</v>
      </c>
      <c r="L148" s="68">
        <f t="shared" ref="L148:L149" si="85">+J148+K148</f>
        <v>983.50349999999992</v>
      </c>
      <c r="M148" s="29">
        <v>1180</v>
      </c>
      <c r="N148" s="29">
        <v>1180</v>
      </c>
      <c r="O148" s="58">
        <v>0.05</v>
      </c>
      <c r="P148" s="51">
        <f>+N148*0.952380952380952</f>
        <v>1123.8095238095234</v>
      </c>
      <c r="Q148" s="51">
        <f t="shared" si="77"/>
        <v>56.190476190476176</v>
      </c>
      <c r="R148" s="51">
        <f t="shared" ref="R148" si="86">+P148+Q148</f>
        <v>1179.9999999999995</v>
      </c>
      <c r="S148" s="9" t="s">
        <v>184</v>
      </c>
      <c r="T148" s="10" t="s">
        <v>10</v>
      </c>
      <c r="U148" s="11" t="s">
        <v>184</v>
      </c>
      <c r="V148" s="36" t="s">
        <v>184</v>
      </c>
      <c r="W148" s="41" t="s">
        <v>250</v>
      </c>
      <c r="X148" s="41"/>
      <c r="Z148" s="46"/>
      <c r="AA148" s="46"/>
      <c r="AB148" s="46"/>
    </row>
    <row r="149" spans="1:28" s="32" customFormat="1" ht="18" customHeight="1" x14ac:dyDescent="0.4">
      <c r="A149" s="8">
        <v>152</v>
      </c>
      <c r="B149" s="53" t="s">
        <v>96</v>
      </c>
      <c r="C149" s="5" t="s">
        <v>165</v>
      </c>
      <c r="D149" s="9" t="s">
        <v>41</v>
      </c>
      <c r="E149" s="88" t="s">
        <v>116</v>
      </c>
      <c r="F149" s="88">
        <v>1</v>
      </c>
      <c r="G149" s="29">
        <v>2799</v>
      </c>
      <c r="H149" s="60">
        <v>0.52</v>
      </c>
      <c r="I149" s="65">
        <v>0.05</v>
      </c>
      <c r="J149" s="68">
        <v>2665.71</v>
      </c>
      <c r="K149" s="68">
        <f t="shared" si="72"/>
        <v>133.28550000000001</v>
      </c>
      <c r="L149" s="68">
        <f t="shared" si="85"/>
        <v>2798.9955</v>
      </c>
      <c r="M149" s="6">
        <v>1679.4</v>
      </c>
      <c r="N149" s="6">
        <v>1679.5</v>
      </c>
      <c r="O149" s="58">
        <v>0.05</v>
      </c>
      <c r="P149" s="51">
        <v>1599.43</v>
      </c>
      <c r="Q149" s="51">
        <f t="shared" si="77"/>
        <v>79.971500000000006</v>
      </c>
      <c r="R149" s="51">
        <f t="shared" ref="R149:R156" si="87">+P149+Q149</f>
        <v>1679.4015000000002</v>
      </c>
      <c r="S149" s="9" t="s">
        <v>184</v>
      </c>
      <c r="T149" s="10" t="s">
        <v>10</v>
      </c>
      <c r="U149" s="11" t="s">
        <v>184</v>
      </c>
      <c r="V149" s="36" t="s">
        <v>184</v>
      </c>
      <c r="W149" s="41" t="s">
        <v>250</v>
      </c>
      <c r="X149" s="41"/>
      <c r="Z149" s="46"/>
      <c r="AA149" s="46"/>
      <c r="AB149" s="46"/>
    </row>
    <row r="150" spans="1:28" s="32" customFormat="1" ht="18" customHeight="1" x14ac:dyDescent="0.4">
      <c r="A150" s="8">
        <v>153</v>
      </c>
      <c r="B150" s="53" t="s">
        <v>30</v>
      </c>
      <c r="C150" s="5" t="s">
        <v>112</v>
      </c>
      <c r="D150" s="9" t="s">
        <v>42</v>
      </c>
      <c r="E150" s="88" t="s">
        <v>116</v>
      </c>
      <c r="F150" s="88">
        <v>1</v>
      </c>
      <c r="G150" s="29">
        <v>2999</v>
      </c>
      <c r="H150" s="60">
        <v>0.52</v>
      </c>
      <c r="I150" s="65">
        <v>0.05</v>
      </c>
      <c r="J150" s="68">
        <v>1370.97</v>
      </c>
      <c r="K150" s="68">
        <f t="shared" ref="K150:K157" si="88">+I150*J150</f>
        <v>68.548500000000004</v>
      </c>
      <c r="L150" s="68">
        <f t="shared" ref="L150:L157" si="89">+J150+K150</f>
        <v>1439.5185000000001</v>
      </c>
      <c r="M150" s="6">
        <v>1800</v>
      </c>
      <c r="N150" s="6">
        <v>1800</v>
      </c>
      <c r="O150" s="58">
        <v>0.05</v>
      </c>
      <c r="P150" s="51">
        <v>1714.29</v>
      </c>
      <c r="Q150" s="51">
        <f t="shared" ref="Q150:Q156" si="90">+P150*5%</f>
        <v>85.714500000000001</v>
      </c>
      <c r="R150" s="51">
        <f t="shared" si="87"/>
        <v>1800.0045</v>
      </c>
      <c r="S150" s="10" t="s">
        <v>168</v>
      </c>
      <c r="T150" s="10" t="s">
        <v>7</v>
      </c>
      <c r="U150" s="11" t="s">
        <v>169</v>
      </c>
      <c r="V150" s="11" t="s">
        <v>169</v>
      </c>
      <c r="W150" s="40" t="s">
        <v>244</v>
      </c>
      <c r="X150" s="41" t="s">
        <v>245</v>
      </c>
      <c r="Z150" s="46"/>
      <c r="AA150" s="46"/>
      <c r="AB150" s="46"/>
    </row>
    <row r="151" spans="1:28" s="32" customFormat="1" ht="18" customHeight="1" x14ac:dyDescent="0.4">
      <c r="A151" s="8">
        <v>154</v>
      </c>
      <c r="B151" s="53" t="s">
        <v>30</v>
      </c>
      <c r="C151" s="5" t="s">
        <v>112</v>
      </c>
      <c r="D151" s="9" t="s">
        <v>42</v>
      </c>
      <c r="E151" s="88" t="s">
        <v>116</v>
      </c>
      <c r="F151" s="88">
        <v>1</v>
      </c>
      <c r="G151" s="29">
        <v>2999</v>
      </c>
      <c r="H151" s="60">
        <v>0.52</v>
      </c>
      <c r="I151" s="65">
        <v>0.05</v>
      </c>
      <c r="J151" s="68">
        <v>1370.97</v>
      </c>
      <c r="K151" s="68">
        <f t="shared" si="88"/>
        <v>68.548500000000004</v>
      </c>
      <c r="L151" s="68">
        <f t="shared" si="89"/>
        <v>1439.5185000000001</v>
      </c>
      <c r="M151" s="6">
        <v>1800</v>
      </c>
      <c r="N151" s="6">
        <v>1800</v>
      </c>
      <c r="O151" s="58">
        <v>0.05</v>
      </c>
      <c r="P151" s="51">
        <v>1714.29</v>
      </c>
      <c r="Q151" s="51">
        <f t="shared" si="90"/>
        <v>85.714500000000001</v>
      </c>
      <c r="R151" s="51">
        <f t="shared" si="87"/>
        <v>1800.0045</v>
      </c>
      <c r="S151" s="10" t="s">
        <v>168</v>
      </c>
      <c r="T151" s="10" t="s">
        <v>7</v>
      </c>
      <c r="U151" s="11" t="s">
        <v>169</v>
      </c>
      <c r="V151" s="11" t="s">
        <v>169</v>
      </c>
      <c r="W151" s="40" t="s">
        <v>244</v>
      </c>
      <c r="X151" s="41" t="s">
        <v>245</v>
      </c>
      <c r="Z151" s="46"/>
      <c r="AA151" s="46"/>
      <c r="AB151" s="46"/>
    </row>
    <row r="152" spans="1:28" s="32" customFormat="1" ht="18" customHeight="1" x14ac:dyDescent="0.4">
      <c r="A152" s="8">
        <v>155</v>
      </c>
      <c r="B152" s="53" t="s">
        <v>30</v>
      </c>
      <c r="C152" s="5" t="s">
        <v>112</v>
      </c>
      <c r="D152" s="9" t="s">
        <v>41</v>
      </c>
      <c r="E152" s="88" t="s">
        <v>116</v>
      </c>
      <c r="F152" s="88">
        <v>1</v>
      </c>
      <c r="G152" s="29">
        <v>2999</v>
      </c>
      <c r="H152" s="60">
        <v>0.52</v>
      </c>
      <c r="I152" s="65">
        <v>0.05</v>
      </c>
      <c r="J152" s="68">
        <v>1370.97</v>
      </c>
      <c r="K152" s="68">
        <f t="shared" si="88"/>
        <v>68.548500000000004</v>
      </c>
      <c r="L152" s="68">
        <f t="shared" si="89"/>
        <v>1439.5185000000001</v>
      </c>
      <c r="M152" s="6">
        <v>1800</v>
      </c>
      <c r="N152" s="6">
        <v>1800</v>
      </c>
      <c r="O152" s="58">
        <v>0.05</v>
      </c>
      <c r="P152" s="51">
        <v>1714.29</v>
      </c>
      <c r="Q152" s="51">
        <f t="shared" si="90"/>
        <v>85.714500000000001</v>
      </c>
      <c r="R152" s="51">
        <f t="shared" si="87"/>
        <v>1800.0045</v>
      </c>
      <c r="S152" s="10" t="s">
        <v>168</v>
      </c>
      <c r="T152" s="10" t="s">
        <v>7</v>
      </c>
      <c r="U152" s="11" t="s">
        <v>169</v>
      </c>
      <c r="V152" s="11" t="s">
        <v>169</v>
      </c>
      <c r="W152" s="40" t="s">
        <v>244</v>
      </c>
      <c r="X152" s="41" t="s">
        <v>245</v>
      </c>
      <c r="Z152" s="46"/>
      <c r="AA152" s="46"/>
      <c r="AB152" s="46"/>
    </row>
    <row r="153" spans="1:28" s="32" customFormat="1" ht="18" customHeight="1" x14ac:dyDescent="0.4">
      <c r="A153" s="8">
        <v>156</v>
      </c>
      <c r="B153" s="53" t="s">
        <v>30</v>
      </c>
      <c r="C153" s="5" t="s">
        <v>112</v>
      </c>
      <c r="D153" s="9" t="s">
        <v>20</v>
      </c>
      <c r="E153" s="88" t="s">
        <v>116</v>
      </c>
      <c r="F153" s="88">
        <v>1</v>
      </c>
      <c r="G153" s="29">
        <v>2999</v>
      </c>
      <c r="H153" s="60">
        <v>0.52</v>
      </c>
      <c r="I153" s="65">
        <v>0.05</v>
      </c>
      <c r="J153" s="68">
        <v>1370.97</v>
      </c>
      <c r="K153" s="68">
        <f t="shared" si="88"/>
        <v>68.548500000000004</v>
      </c>
      <c r="L153" s="68">
        <f t="shared" si="89"/>
        <v>1439.5185000000001</v>
      </c>
      <c r="M153" s="6">
        <v>1800</v>
      </c>
      <c r="N153" s="6">
        <v>1800</v>
      </c>
      <c r="O153" s="58">
        <v>0.05</v>
      </c>
      <c r="P153" s="51">
        <v>1714.29</v>
      </c>
      <c r="Q153" s="51">
        <f t="shared" si="90"/>
        <v>85.714500000000001</v>
      </c>
      <c r="R153" s="51">
        <f t="shared" si="87"/>
        <v>1800.0045</v>
      </c>
      <c r="S153" s="10" t="s">
        <v>168</v>
      </c>
      <c r="T153" s="10" t="s">
        <v>7</v>
      </c>
      <c r="U153" s="11" t="s">
        <v>169</v>
      </c>
      <c r="V153" s="11" t="s">
        <v>169</v>
      </c>
      <c r="W153" s="40" t="s">
        <v>244</v>
      </c>
      <c r="X153" s="41" t="s">
        <v>245</v>
      </c>
      <c r="Z153" s="46"/>
      <c r="AA153" s="46"/>
      <c r="AB153" s="46"/>
    </row>
    <row r="154" spans="1:28" s="32" customFormat="1" ht="18" customHeight="1" x14ac:dyDescent="0.4">
      <c r="A154" s="8">
        <v>157</v>
      </c>
      <c r="B154" s="53" t="s">
        <v>30</v>
      </c>
      <c r="C154" s="5" t="s">
        <v>112</v>
      </c>
      <c r="D154" s="9" t="s">
        <v>16</v>
      </c>
      <c r="E154" s="88" t="s">
        <v>116</v>
      </c>
      <c r="F154" s="88">
        <v>1</v>
      </c>
      <c r="G154" s="29">
        <v>2999</v>
      </c>
      <c r="H154" s="60">
        <v>0.52</v>
      </c>
      <c r="I154" s="65">
        <v>0.05</v>
      </c>
      <c r="J154" s="68">
        <v>1370.97</v>
      </c>
      <c r="K154" s="68">
        <f t="shared" si="88"/>
        <v>68.548500000000004</v>
      </c>
      <c r="L154" s="68">
        <f t="shared" si="89"/>
        <v>1439.5185000000001</v>
      </c>
      <c r="M154" s="6">
        <v>1800</v>
      </c>
      <c r="N154" s="6">
        <v>1800</v>
      </c>
      <c r="O154" s="58">
        <v>0.05</v>
      </c>
      <c r="P154" s="51">
        <v>1714.29</v>
      </c>
      <c r="Q154" s="51">
        <f t="shared" si="90"/>
        <v>85.714500000000001</v>
      </c>
      <c r="R154" s="51">
        <f t="shared" si="87"/>
        <v>1800.0045</v>
      </c>
      <c r="S154" s="10" t="s">
        <v>168</v>
      </c>
      <c r="T154" s="10" t="s">
        <v>7</v>
      </c>
      <c r="U154" s="11" t="s">
        <v>169</v>
      </c>
      <c r="V154" s="11" t="s">
        <v>169</v>
      </c>
      <c r="W154" s="40" t="s">
        <v>244</v>
      </c>
      <c r="X154" s="41" t="s">
        <v>245</v>
      </c>
      <c r="Z154" s="46"/>
      <c r="AA154" s="46"/>
      <c r="AB154" s="46"/>
    </row>
    <row r="155" spans="1:28" s="32" customFormat="1" ht="18" customHeight="1" x14ac:dyDescent="0.4">
      <c r="A155" s="8">
        <v>158</v>
      </c>
      <c r="B155" s="53" t="s">
        <v>30</v>
      </c>
      <c r="C155" s="5" t="s">
        <v>112</v>
      </c>
      <c r="D155" s="9" t="s">
        <v>18</v>
      </c>
      <c r="E155" s="88" t="s">
        <v>116</v>
      </c>
      <c r="F155" s="88">
        <v>1</v>
      </c>
      <c r="G155" s="29">
        <v>2999</v>
      </c>
      <c r="H155" s="60">
        <v>0.52</v>
      </c>
      <c r="I155" s="65">
        <v>0.05</v>
      </c>
      <c r="J155" s="68">
        <v>1370.97</v>
      </c>
      <c r="K155" s="68">
        <f t="shared" si="88"/>
        <v>68.548500000000004</v>
      </c>
      <c r="L155" s="68">
        <f t="shared" si="89"/>
        <v>1439.5185000000001</v>
      </c>
      <c r="M155" s="6">
        <v>1800</v>
      </c>
      <c r="N155" s="6">
        <v>1800</v>
      </c>
      <c r="O155" s="58">
        <v>0.05</v>
      </c>
      <c r="P155" s="51">
        <v>1714.29</v>
      </c>
      <c r="Q155" s="51">
        <f t="shared" si="90"/>
        <v>85.714500000000001</v>
      </c>
      <c r="R155" s="51">
        <f t="shared" si="87"/>
        <v>1800.0045</v>
      </c>
      <c r="S155" s="10" t="s">
        <v>168</v>
      </c>
      <c r="T155" s="10" t="s">
        <v>7</v>
      </c>
      <c r="U155" s="11" t="s">
        <v>169</v>
      </c>
      <c r="V155" s="11" t="s">
        <v>169</v>
      </c>
      <c r="W155" s="40" t="s">
        <v>244</v>
      </c>
      <c r="X155" s="41" t="s">
        <v>245</v>
      </c>
      <c r="Z155" s="46"/>
      <c r="AA155" s="46"/>
      <c r="AB155" s="46"/>
    </row>
    <row r="156" spans="1:28" s="32" customFormat="1" ht="18" customHeight="1" x14ac:dyDescent="0.4">
      <c r="A156" s="8">
        <v>159</v>
      </c>
      <c r="B156" s="53" t="s">
        <v>30</v>
      </c>
      <c r="C156" s="5" t="s">
        <v>163</v>
      </c>
      <c r="D156" s="9" t="s">
        <v>42</v>
      </c>
      <c r="E156" s="88" t="s">
        <v>116</v>
      </c>
      <c r="F156" s="88">
        <v>1</v>
      </c>
      <c r="G156" s="29">
        <v>2999</v>
      </c>
      <c r="H156" s="60">
        <v>0.52</v>
      </c>
      <c r="I156" s="65">
        <v>0.05</v>
      </c>
      <c r="J156" s="68">
        <v>1370.97</v>
      </c>
      <c r="K156" s="68">
        <f t="shared" si="88"/>
        <v>68.548500000000004</v>
      </c>
      <c r="L156" s="68">
        <f t="shared" si="89"/>
        <v>1439.5185000000001</v>
      </c>
      <c r="M156" s="6">
        <v>1800</v>
      </c>
      <c r="N156" s="6">
        <v>1800</v>
      </c>
      <c r="O156" s="58">
        <v>0.05</v>
      </c>
      <c r="P156" s="51">
        <v>1714.29</v>
      </c>
      <c r="Q156" s="51">
        <f t="shared" si="90"/>
        <v>85.714500000000001</v>
      </c>
      <c r="R156" s="51">
        <f t="shared" si="87"/>
        <v>1800.0045</v>
      </c>
      <c r="S156" s="10" t="s">
        <v>168</v>
      </c>
      <c r="T156" s="10" t="s">
        <v>7</v>
      </c>
      <c r="U156" s="11" t="s">
        <v>169</v>
      </c>
      <c r="V156" s="11" t="s">
        <v>169</v>
      </c>
      <c r="W156" s="41" t="s">
        <v>244</v>
      </c>
      <c r="X156" s="92" t="s">
        <v>245</v>
      </c>
      <c r="Z156" s="46"/>
      <c r="AA156" s="46"/>
      <c r="AB156" s="46"/>
    </row>
    <row r="157" spans="1:28" s="32" customFormat="1" ht="18" customHeight="1" x14ac:dyDescent="0.4">
      <c r="A157" s="8">
        <v>160</v>
      </c>
      <c r="B157" s="53" t="s">
        <v>30</v>
      </c>
      <c r="C157" s="5" t="s">
        <v>163</v>
      </c>
      <c r="D157" s="9" t="s">
        <v>16</v>
      </c>
      <c r="E157" s="88" t="s">
        <v>116</v>
      </c>
      <c r="F157" s="88">
        <v>1</v>
      </c>
      <c r="G157" s="29">
        <v>2999</v>
      </c>
      <c r="H157" s="60">
        <v>0.52</v>
      </c>
      <c r="I157" s="65">
        <v>0.05</v>
      </c>
      <c r="J157" s="68">
        <v>1370.97</v>
      </c>
      <c r="K157" s="68">
        <f t="shared" si="88"/>
        <v>68.548500000000004</v>
      </c>
      <c r="L157" s="68">
        <f t="shared" si="89"/>
        <v>1439.5185000000001</v>
      </c>
      <c r="M157" s="6">
        <v>1800</v>
      </c>
      <c r="N157" s="6">
        <v>1800</v>
      </c>
      <c r="O157" s="58">
        <v>0.05</v>
      </c>
      <c r="P157" s="51">
        <v>1714.29</v>
      </c>
      <c r="Q157" s="51">
        <f t="shared" ref="Q157" si="91">+P157*5%</f>
        <v>85.714500000000001</v>
      </c>
      <c r="R157" s="51">
        <f t="shared" ref="R157:R158" si="92">+P157+Q157</f>
        <v>1800.0045</v>
      </c>
      <c r="S157" s="10" t="s">
        <v>168</v>
      </c>
      <c r="T157" s="10" t="s">
        <v>7</v>
      </c>
      <c r="U157" s="11" t="s">
        <v>169</v>
      </c>
      <c r="V157" s="11" t="s">
        <v>169</v>
      </c>
      <c r="W157" s="41" t="s">
        <v>244</v>
      </c>
      <c r="X157" s="92" t="s">
        <v>245</v>
      </c>
      <c r="Z157" s="46"/>
      <c r="AA157" s="46"/>
      <c r="AB157" s="46"/>
    </row>
    <row r="158" spans="1:28" s="32" customFormat="1" ht="18" customHeight="1" x14ac:dyDescent="0.4">
      <c r="A158" s="8">
        <v>161</v>
      </c>
      <c r="B158" s="53" t="s">
        <v>30</v>
      </c>
      <c r="C158" s="5" t="s">
        <v>32</v>
      </c>
      <c r="D158" s="9" t="s">
        <v>9</v>
      </c>
      <c r="E158" s="87" t="s">
        <v>107</v>
      </c>
      <c r="F158" s="87">
        <v>1</v>
      </c>
      <c r="G158" s="29">
        <v>1967</v>
      </c>
      <c r="H158" s="60">
        <v>0.5</v>
      </c>
      <c r="I158" s="65">
        <v>0.05</v>
      </c>
      <c r="J158" s="68">
        <v>936.67</v>
      </c>
      <c r="K158" s="68">
        <f t="shared" ref="K158" si="93">+I158*J158</f>
        <v>46.833500000000001</v>
      </c>
      <c r="L158" s="68">
        <f t="shared" ref="L158" si="94">+J158+K158</f>
        <v>983.50349999999992</v>
      </c>
      <c r="M158" s="29">
        <v>1377</v>
      </c>
      <c r="N158" s="29">
        <v>1377</v>
      </c>
      <c r="O158" s="58">
        <v>0.05</v>
      </c>
      <c r="P158" s="51">
        <f>+N158*0.952380952380952</f>
        <v>1311.4285714285709</v>
      </c>
      <c r="Q158" s="51">
        <f>+P158*5%</f>
        <v>65.571428571428541</v>
      </c>
      <c r="R158" s="51">
        <f t="shared" si="92"/>
        <v>1376.9999999999993</v>
      </c>
      <c r="S158" s="9"/>
      <c r="T158" s="10" t="s">
        <v>7</v>
      </c>
      <c r="U158" s="11" t="s">
        <v>170</v>
      </c>
      <c r="V158" s="11" t="s">
        <v>170</v>
      </c>
      <c r="W158" s="41" t="s">
        <v>296</v>
      </c>
      <c r="X158" s="41"/>
      <c r="Z158" s="46"/>
      <c r="AA158" s="46"/>
      <c r="AB158" s="46"/>
    </row>
    <row r="159" spans="1:28" s="32" customFormat="1" ht="18" customHeight="1" x14ac:dyDescent="0.4">
      <c r="A159" s="8">
        <v>162</v>
      </c>
      <c r="B159" s="53" t="s">
        <v>30</v>
      </c>
      <c r="C159" s="5" t="s">
        <v>32</v>
      </c>
      <c r="D159" s="9" t="s">
        <v>20</v>
      </c>
      <c r="E159" s="88" t="s">
        <v>116</v>
      </c>
      <c r="F159" s="88">
        <v>1</v>
      </c>
      <c r="G159" s="29">
        <v>1967</v>
      </c>
      <c r="H159" s="60">
        <v>0.52</v>
      </c>
      <c r="I159" s="65">
        <v>0.05</v>
      </c>
      <c r="J159" s="68">
        <v>899.2</v>
      </c>
      <c r="K159" s="68">
        <f t="shared" ref="K159" si="95">+I159*J159</f>
        <v>44.960000000000008</v>
      </c>
      <c r="L159" s="68">
        <f t="shared" ref="L159" si="96">+J159+K159</f>
        <v>944.16000000000008</v>
      </c>
      <c r="M159" s="29">
        <v>1279</v>
      </c>
      <c r="N159" s="29">
        <v>1279</v>
      </c>
      <c r="O159" s="58">
        <v>0.05</v>
      </c>
      <c r="P159" s="51">
        <f>+N159*0.952380952380952</f>
        <v>1218.0952380952376</v>
      </c>
      <c r="Q159" s="51">
        <f>+P159*5%</f>
        <v>60.904761904761884</v>
      </c>
      <c r="R159" s="51">
        <f t="shared" ref="R159:R164" si="97">+P159+Q159</f>
        <v>1278.9999999999995</v>
      </c>
      <c r="S159" s="9"/>
      <c r="T159" s="10" t="s">
        <v>7</v>
      </c>
      <c r="U159" s="11" t="s">
        <v>170</v>
      </c>
      <c r="V159" s="11" t="s">
        <v>170</v>
      </c>
      <c r="W159" s="41" t="s">
        <v>296</v>
      </c>
      <c r="X159" s="41"/>
      <c r="Z159" s="46"/>
      <c r="AA159" s="46"/>
      <c r="AB159" s="46"/>
    </row>
    <row r="160" spans="1:28" s="32" customFormat="1" ht="18" customHeight="1" x14ac:dyDescent="0.4">
      <c r="A160" s="8">
        <v>163</v>
      </c>
      <c r="B160" s="53" t="s">
        <v>36</v>
      </c>
      <c r="C160" s="5" t="s">
        <v>35</v>
      </c>
      <c r="D160" s="9" t="s">
        <v>16</v>
      </c>
      <c r="E160" s="88" t="s">
        <v>116</v>
      </c>
      <c r="F160" s="88">
        <v>1</v>
      </c>
      <c r="G160" s="29">
        <v>5000</v>
      </c>
      <c r="H160" s="60">
        <v>0.52</v>
      </c>
      <c r="I160" s="65">
        <v>0.05</v>
      </c>
      <c r="J160" s="68">
        <v>2285.71</v>
      </c>
      <c r="K160" s="68">
        <f t="shared" ref="K160" si="98">+I160*J160</f>
        <v>114.28550000000001</v>
      </c>
      <c r="L160" s="68">
        <f t="shared" ref="L160" si="99">+J160+K160</f>
        <v>2399.9955</v>
      </c>
      <c r="M160" s="29">
        <v>3500</v>
      </c>
      <c r="N160" s="29">
        <v>3500</v>
      </c>
      <c r="O160" s="58">
        <v>0.05</v>
      </c>
      <c r="P160" s="51">
        <f>+N160*0.952380952380952</f>
        <v>3333.3333333333321</v>
      </c>
      <c r="Q160" s="51">
        <f>+P160*5%</f>
        <v>166.66666666666663</v>
      </c>
      <c r="R160" s="51">
        <f t="shared" si="97"/>
        <v>3499.9999999999986</v>
      </c>
      <c r="S160" s="9"/>
      <c r="T160" s="10" t="s">
        <v>7</v>
      </c>
      <c r="U160" s="11" t="s">
        <v>170</v>
      </c>
      <c r="V160" s="11" t="s">
        <v>170</v>
      </c>
      <c r="W160" s="41" t="s">
        <v>296</v>
      </c>
      <c r="X160" s="41"/>
      <c r="Z160" s="46"/>
      <c r="AA160" s="46"/>
      <c r="AB160" s="46"/>
    </row>
    <row r="161" spans="1:28" s="32" customFormat="1" ht="18" customHeight="1" x14ac:dyDescent="0.4">
      <c r="A161" s="8">
        <v>164</v>
      </c>
      <c r="B161" s="53" t="s">
        <v>36</v>
      </c>
      <c r="C161" s="5" t="s">
        <v>52</v>
      </c>
      <c r="D161" s="9" t="s">
        <v>42</v>
      </c>
      <c r="E161" s="87" t="s">
        <v>107</v>
      </c>
      <c r="F161" s="87">
        <v>1</v>
      </c>
      <c r="G161" s="29">
        <v>7011</v>
      </c>
      <c r="H161" s="60">
        <v>0.5</v>
      </c>
      <c r="I161" s="65">
        <v>0.18</v>
      </c>
      <c r="J161" s="68">
        <v>2970.76</v>
      </c>
      <c r="K161" s="68">
        <f t="shared" ref="K161" si="100">+I161*J161</f>
        <v>534.73680000000002</v>
      </c>
      <c r="L161" s="68">
        <f t="shared" ref="L161:L162" si="101">+J161+K161</f>
        <v>3505.4968000000003</v>
      </c>
      <c r="M161" s="29">
        <v>4550</v>
      </c>
      <c r="N161" s="29">
        <v>4550</v>
      </c>
      <c r="O161" s="58">
        <v>0.18</v>
      </c>
      <c r="P161" s="51">
        <f>+N161*0.847457627118644</f>
        <v>3855.9322033898302</v>
      </c>
      <c r="Q161" s="51">
        <f>+P161*18%</f>
        <v>694.06779661016935</v>
      </c>
      <c r="R161" s="51">
        <f t="shared" si="97"/>
        <v>4550</v>
      </c>
      <c r="S161" s="9"/>
      <c r="T161" s="10" t="s">
        <v>7</v>
      </c>
      <c r="U161" s="11" t="s">
        <v>170</v>
      </c>
      <c r="V161" s="11" t="s">
        <v>170</v>
      </c>
      <c r="W161" s="41" t="s">
        <v>296</v>
      </c>
      <c r="X161" s="41"/>
      <c r="Z161" s="46"/>
      <c r="AA161" s="46"/>
      <c r="AB161" s="46"/>
    </row>
    <row r="162" spans="1:28" s="32" customFormat="1" ht="18" customHeight="1" x14ac:dyDescent="0.4">
      <c r="A162" s="8">
        <v>165</v>
      </c>
      <c r="B162" s="53" t="s">
        <v>30</v>
      </c>
      <c r="C162" s="5" t="s">
        <v>49</v>
      </c>
      <c r="D162" s="9" t="s">
        <v>41</v>
      </c>
      <c r="E162" s="87" t="s">
        <v>107</v>
      </c>
      <c r="F162" s="87">
        <v>1</v>
      </c>
      <c r="G162" s="29">
        <v>2207</v>
      </c>
      <c r="H162" s="60">
        <v>0.5</v>
      </c>
      <c r="I162" s="65">
        <v>0.05</v>
      </c>
      <c r="J162" s="68">
        <v>1050.95</v>
      </c>
      <c r="K162" s="68">
        <f>+I162*J162</f>
        <v>52.547500000000007</v>
      </c>
      <c r="L162" s="68">
        <f t="shared" si="101"/>
        <v>1103.4974999999999</v>
      </c>
      <c r="M162" s="29">
        <v>1545</v>
      </c>
      <c r="N162" s="29">
        <v>1545</v>
      </c>
      <c r="O162" s="58">
        <v>0.05</v>
      </c>
      <c r="P162" s="51">
        <f>+N162*0.952380952380952</f>
        <v>1471.4285714285709</v>
      </c>
      <c r="Q162" s="51">
        <f>+P162*5%</f>
        <v>73.571428571428541</v>
      </c>
      <c r="R162" s="51">
        <f t="shared" si="97"/>
        <v>1544.9999999999993</v>
      </c>
      <c r="S162" s="9"/>
      <c r="T162" s="10" t="s">
        <v>7</v>
      </c>
      <c r="U162" s="11" t="s">
        <v>170</v>
      </c>
      <c r="V162" s="11" t="s">
        <v>170</v>
      </c>
      <c r="W162" s="41" t="s">
        <v>296</v>
      </c>
      <c r="X162" s="41"/>
      <c r="Z162" s="46"/>
      <c r="AA162" s="46"/>
      <c r="AB162" s="46"/>
    </row>
    <row r="163" spans="1:28" s="32" customFormat="1" ht="18" customHeight="1" x14ac:dyDescent="0.4">
      <c r="A163" s="8">
        <v>166</v>
      </c>
      <c r="B163" s="53" t="s">
        <v>30</v>
      </c>
      <c r="C163" s="5" t="s">
        <v>112</v>
      </c>
      <c r="D163" s="9" t="s">
        <v>20</v>
      </c>
      <c r="E163" s="88" t="s">
        <v>116</v>
      </c>
      <c r="F163" s="88">
        <v>1</v>
      </c>
      <c r="G163" s="29">
        <v>2999</v>
      </c>
      <c r="H163" s="60">
        <v>0.52</v>
      </c>
      <c r="I163" s="65">
        <v>0.05</v>
      </c>
      <c r="J163" s="68">
        <v>1370.97</v>
      </c>
      <c r="K163" s="68">
        <f>+I163*J163</f>
        <v>68.548500000000004</v>
      </c>
      <c r="L163" s="68">
        <f>+J163+K163</f>
        <v>1439.5185000000001</v>
      </c>
      <c r="M163" s="6">
        <v>2099</v>
      </c>
      <c r="N163" s="6">
        <v>2099</v>
      </c>
      <c r="O163" s="58">
        <v>0.05</v>
      </c>
      <c r="P163" s="51">
        <f>+N163*0.952380952380952</f>
        <v>1999.0476190476181</v>
      </c>
      <c r="Q163" s="51">
        <f>+P163*5%</f>
        <v>99.952380952380906</v>
      </c>
      <c r="R163" s="51">
        <f t="shared" si="97"/>
        <v>2098.9999999999991</v>
      </c>
      <c r="S163" s="10"/>
      <c r="T163" s="10" t="s">
        <v>7</v>
      </c>
      <c r="U163" s="11" t="s">
        <v>170</v>
      </c>
      <c r="V163" s="11" t="s">
        <v>170</v>
      </c>
      <c r="W163" s="41" t="s">
        <v>296</v>
      </c>
      <c r="X163" s="41"/>
      <c r="Z163" s="46"/>
      <c r="AA163" s="46"/>
      <c r="AB163" s="46"/>
    </row>
    <row r="164" spans="1:28" s="131" customFormat="1" ht="18" customHeight="1" x14ac:dyDescent="0.4">
      <c r="A164" s="116">
        <v>167</v>
      </c>
      <c r="B164" s="117" t="s">
        <v>30</v>
      </c>
      <c r="C164" s="141" t="s">
        <v>34</v>
      </c>
      <c r="D164" s="119" t="s">
        <v>42</v>
      </c>
      <c r="E164" s="142" t="s">
        <v>107</v>
      </c>
      <c r="F164" s="142">
        <v>1</v>
      </c>
      <c r="G164" s="121">
        <v>4500</v>
      </c>
      <c r="H164" s="122">
        <v>0.5</v>
      </c>
      <c r="I164" s="123">
        <v>0.05</v>
      </c>
      <c r="J164" s="124">
        <v>2142.86</v>
      </c>
      <c r="K164" s="124">
        <f>+I164*J164</f>
        <v>107.14300000000001</v>
      </c>
      <c r="L164" s="124">
        <f>+J164+K164</f>
        <v>2250.0030000000002</v>
      </c>
      <c r="M164" s="125">
        <v>3150</v>
      </c>
      <c r="N164" s="125">
        <v>3150</v>
      </c>
      <c r="O164" s="126">
        <v>0.18</v>
      </c>
      <c r="P164" s="51">
        <f>+N164*0.847457627118644</f>
        <v>2669.4915254237285</v>
      </c>
      <c r="Q164" s="127">
        <f>+P164*18%</f>
        <v>480.50847457627111</v>
      </c>
      <c r="R164" s="127">
        <f t="shared" si="97"/>
        <v>3149.9999999999995</v>
      </c>
      <c r="S164" s="119"/>
      <c r="T164" s="144" t="s">
        <v>7</v>
      </c>
      <c r="U164" s="145" t="s">
        <v>170</v>
      </c>
      <c r="V164" s="145" t="s">
        <v>170</v>
      </c>
      <c r="W164" s="130" t="s">
        <v>266</v>
      </c>
      <c r="X164" s="130" t="s">
        <v>171</v>
      </c>
      <c r="Z164" s="132"/>
      <c r="AA164" s="132"/>
      <c r="AB164" s="132"/>
    </row>
    <row r="165" spans="1:28" s="131" customFormat="1" ht="18" customHeight="1" x14ac:dyDescent="0.4">
      <c r="A165" s="116">
        <v>168</v>
      </c>
      <c r="B165" s="118" t="s">
        <v>30</v>
      </c>
      <c r="C165" s="143" t="s">
        <v>31</v>
      </c>
      <c r="D165" s="119" t="s">
        <v>41</v>
      </c>
      <c r="E165" s="142" t="s">
        <v>107</v>
      </c>
      <c r="F165" s="142">
        <v>1</v>
      </c>
      <c r="G165" s="121">
        <v>1967</v>
      </c>
      <c r="H165" s="122">
        <v>0.5</v>
      </c>
      <c r="I165" s="123">
        <v>0.05</v>
      </c>
      <c r="J165" s="124">
        <v>936.67</v>
      </c>
      <c r="K165" s="124">
        <f t="shared" ref="K165" si="102">+I165*J165</f>
        <v>46.833500000000001</v>
      </c>
      <c r="L165" s="124">
        <f t="shared" ref="L165:L168" si="103">+J165+K165</f>
        <v>983.50349999999992</v>
      </c>
      <c r="M165" s="121">
        <v>1279</v>
      </c>
      <c r="N165" s="121">
        <v>1279</v>
      </c>
      <c r="O165" s="126">
        <v>0.05</v>
      </c>
      <c r="P165" s="127">
        <f>+N165*0.952380952380952</f>
        <v>1218.0952380952376</v>
      </c>
      <c r="Q165" s="127">
        <f>+P165*5%</f>
        <v>60.904761904761884</v>
      </c>
      <c r="R165" s="127">
        <f t="shared" ref="R165" si="104">+P165+Q165</f>
        <v>1278.9999999999995</v>
      </c>
      <c r="S165" s="119"/>
      <c r="T165" s="144" t="s">
        <v>7</v>
      </c>
      <c r="U165" s="145" t="s">
        <v>170</v>
      </c>
      <c r="V165" s="145" t="s">
        <v>170</v>
      </c>
      <c r="W165" s="130" t="s">
        <v>266</v>
      </c>
      <c r="X165" s="130" t="s">
        <v>171</v>
      </c>
      <c r="Z165" s="132"/>
      <c r="AA165" s="132"/>
      <c r="AB165" s="132"/>
    </row>
    <row r="166" spans="1:28" s="131" customFormat="1" ht="18" customHeight="1" x14ac:dyDescent="0.4">
      <c r="A166" s="116">
        <v>169</v>
      </c>
      <c r="B166" s="117" t="s">
        <v>30</v>
      </c>
      <c r="C166" s="118" t="s">
        <v>112</v>
      </c>
      <c r="D166" s="119" t="s">
        <v>16</v>
      </c>
      <c r="E166" s="120" t="s">
        <v>116</v>
      </c>
      <c r="F166" s="120">
        <v>1</v>
      </c>
      <c r="G166" s="121">
        <v>2999</v>
      </c>
      <c r="H166" s="122">
        <v>0.52</v>
      </c>
      <c r="I166" s="123">
        <v>0.05</v>
      </c>
      <c r="J166" s="124">
        <v>1370.97</v>
      </c>
      <c r="K166" s="124">
        <f>+I166*J166</f>
        <v>68.548500000000004</v>
      </c>
      <c r="L166" s="124">
        <f>+J166+K166</f>
        <v>1439.5185000000001</v>
      </c>
      <c r="M166" s="125">
        <v>2000</v>
      </c>
      <c r="N166" s="125">
        <v>2000</v>
      </c>
      <c r="O166" s="126">
        <v>0.05</v>
      </c>
      <c r="P166" s="127">
        <f>+N166*0.952380952380952</f>
        <v>1904.7619047619039</v>
      </c>
      <c r="Q166" s="127">
        <f>+P166*5%</f>
        <v>95.238095238095198</v>
      </c>
      <c r="R166" s="127">
        <f>+P166+Q166</f>
        <v>1999.9999999999991</v>
      </c>
      <c r="S166" s="128"/>
      <c r="T166" s="144" t="s">
        <v>7</v>
      </c>
      <c r="U166" s="145" t="s">
        <v>170</v>
      </c>
      <c r="V166" s="145" t="s">
        <v>170</v>
      </c>
      <c r="W166" s="130" t="s">
        <v>266</v>
      </c>
      <c r="X166" s="130" t="s">
        <v>171</v>
      </c>
      <c r="Z166" s="132"/>
      <c r="AA166" s="132"/>
      <c r="AB166" s="132"/>
    </row>
    <row r="167" spans="1:28" s="7" customFormat="1" ht="18" customHeight="1" x14ac:dyDescent="0.4">
      <c r="A167" s="8">
        <v>170</v>
      </c>
      <c r="B167" s="53" t="s">
        <v>30</v>
      </c>
      <c r="C167" s="53" t="s">
        <v>39</v>
      </c>
      <c r="D167" s="9" t="s">
        <v>20</v>
      </c>
      <c r="E167" s="87" t="s">
        <v>107</v>
      </c>
      <c r="F167" s="87">
        <v>1</v>
      </c>
      <c r="G167" s="29">
        <v>4590</v>
      </c>
      <c r="H167" s="60">
        <v>0.5</v>
      </c>
      <c r="I167" s="65">
        <v>0.18</v>
      </c>
      <c r="J167" s="68">
        <v>1944.92</v>
      </c>
      <c r="K167" s="68">
        <f>+J167*I167</f>
        <v>350.0856</v>
      </c>
      <c r="L167" s="68">
        <f t="shared" si="103"/>
        <v>2295.0056</v>
      </c>
      <c r="M167" s="6">
        <v>3150</v>
      </c>
      <c r="N167" s="6">
        <v>3150</v>
      </c>
      <c r="O167" s="58">
        <v>0.18</v>
      </c>
      <c r="P167" s="51">
        <f>+N167*0.847457627118644</f>
        <v>2669.4915254237285</v>
      </c>
      <c r="Q167" s="51">
        <f>+P167*18%</f>
        <v>480.50847457627111</v>
      </c>
      <c r="R167" s="51">
        <f>+P167+Q167</f>
        <v>3149.9999999999995</v>
      </c>
      <c r="S167" s="9" t="s">
        <v>288</v>
      </c>
      <c r="T167" s="10" t="s">
        <v>7</v>
      </c>
      <c r="U167" s="11" t="s">
        <v>170</v>
      </c>
      <c r="V167" s="11" t="s">
        <v>286</v>
      </c>
      <c r="W167" s="41" t="s">
        <v>287</v>
      </c>
      <c r="X167" s="41" t="s">
        <v>289</v>
      </c>
    </row>
    <row r="168" spans="1:28" s="131" customFormat="1" ht="18" customHeight="1" x14ac:dyDescent="0.4">
      <c r="A168" s="116">
        <v>171</v>
      </c>
      <c r="B168" s="117" t="s">
        <v>30</v>
      </c>
      <c r="C168" s="118" t="s">
        <v>31</v>
      </c>
      <c r="D168" s="119" t="s">
        <v>4</v>
      </c>
      <c r="E168" s="120" t="s">
        <v>116</v>
      </c>
      <c r="F168" s="120">
        <v>1</v>
      </c>
      <c r="G168" s="121">
        <v>1967</v>
      </c>
      <c r="H168" s="122">
        <v>0.52</v>
      </c>
      <c r="I168" s="123">
        <v>0.05</v>
      </c>
      <c r="J168" s="124">
        <v>899.2</v>
      </c>
      <c r="K168" s="124">
        <f t="shared" ref="K168:K170" si="105">+I168*J168</f>
        <v>44.960000000000008</v>
      </c>
      <c r="L168" s="124">
        <f t="shared" si="103"/>
        <v>944.16000000000008</v>
      </c>
      <c r="M168" s="121">
        <v>1377</v>
      </c>
      <c r="N168" s="121">
        <v>1377</v>
      </c>
      <c r="O168" s="126">
        <v>0.05</v>
      </c>
      <c r="P168" s="127">
        <f>+N168*0.952380952380952</f>
        <v>1311.4285714285709</v>
      </c>
      <c r="Q168" s="127">
        <f>+P168*5%</f>
        <v>65.571428571428541</v>
      </c>
      <c r="R168" s="127">
        <f>+P168+Q168</f>
        <v>1376.9999999999993</v>
      </c>
      <c r="S168" s="119"/>
      <c r="T168" s="144" t="s">
        <v>7</v>
      </c>
      <c r="U168" s="145" t="s">
        <v>170</v>
      </c>
      <c r="V168" s="145" t="s">
        <v>170</v>
      </c>
      <c r="W168" s="130" t="s">
        <v>266</v>
      </c>
      <c r="X168" s="130" t="s">
        <v>171</v>
      </c>
      <c r="Z168" s="132"/>
      <c r="AA168" s="132"/>
      <c r="AB168" s="132"/>
    </row>
    <row r="169" spans="1:28" s="32" customFormat="1" ht="18" customHeight="1" x14ac:dyDescent="0.4">
      <c r="A169" s="8">
        <v>172</v>
      </c>
      <c r="B169" s="13" t="s">
        <v>36</v>
      </c>
      <c r="C169" s="13" t="s">
        <v>33</v>
      </c>
      <c r="D169" s="9" t="s">
        <v>20</v>
      </c>
      <c r="E169" s="88" t="s">
        <v>116</v>
      </c>
      <c r="F169" s="88">
        <v>1</v>
      </c>
      <c r="G169" s="29">
        <v>9000</v>
      </c>
      <c r="H169" s="60">
        <v>0.52</v>
      </c>
      <c r="I169" s="65">
        <v>0.18</v>
      </c>
      <c r="J169" s="68">
        <v>3661.02</v>
      </c>
      <c r="K169" s="68">
        <f t="shared" si="105"/>
        <v>658.98360000000002</v>
      </c>
      <c r="L169" s="68">
        <f>+J169+K169</f>
        <v>4320.0036</v>
      </c>
      <c r="M169" s="6">
        <v>4728</v>
      </c>
      <c r="N169" s="6">
        <v>4728</v>
      </c>
      <c r="O169" s="58">
        <v>0.18</v>
      </c>
      <c r="P169" s="51">
        <f t="shared" ref="P169" si="106">+N169*0.847457627118644</f>
        <v>4006.7796610169489</v>
      </c>
      <c r="Q169" s="51">
        <f>+P169*18%</f>
        <v>721.22033898305074</v>
      </c>
      <c r="R169" s="51">
        <f t="shared" ref="R169:R170" si="107">+P169+Q169</f>
        <v>4728</v>
      </c>
      <c r="S169" s="9" t="s">
        <v>229</v>
      </c>
      <c r="T169" s="10" t="s">
        <v>7</v>
      </c>
      <c r="U169" s="11" t="s">
        <v>170</v>
      </c>
      <c r="V169" s="11" t="s">
        <v>286</v>
      </c>
      <c r="W169" s="41" t="s">
        <v>287</v>
      </c>
      <c r="X169" s="41" t="s">
        <v>230</v>
      </c>
      <c r="Z169" s="46"/>
      <c r="AA169" s="46"/>
      <c r="AB169" s="46"/>
    </row>
    <row r="170" spans="1:28" s="32" customFormat="1" ht="18" customHeight="1" x14ac:dyDescent="0.4">
      <c r="A170" s="8">
        <v>173</v>
      </c>
      <c r="B170" s="53" t="s">
        <v>36</v>
      </c>
      <c r="C170" s="5" t="s">
        <v>35</v>
      </c>
      <c r="D170" s="9" t="s">
        <v>20</v>
      </c>
      <c r="E170" s="88" t="s">
        <v>116</v>
      </c>
      <c r="F170" s="88">
        <v>1</v>
      </c>
      <c r="G170" s="29">
        <v>5000</v>
      </c>
      <c r="H170" s="60">
        <v>0.52</v>
      </c>
      <c r="I170" s="65">
        <v>0.05</v>
      </c>
      <c r="J170" s="68">
        <v>2285.71</v>
      </c>
      <c r="K170" s="68">
        <f t="shared" si="105"/>
        <v>114.28550000000001</v>
      </c>
      <c r="L170" s="68">
        <f t="shared" ref="L170:L171" si="108">+J170+K170</f>
        <v>2399.9955</v>
      </c>
      <c r="M170" s="29">
        <v>3250</v>
      </c>
      <c r="N170" s="29">
        <v>3250</v>
      </c>
      <c r="O170" s="58">
        <v>0.05</v>
      </c>
      <c r="P170" s="51">
        <f>+N170*0.952380952380952</f>
        <v>3095.238095238094</v>
      </c>
      <c r="Q170" s="51">
        <f>+P170*5%</f>
        <v>154.7619047619047</v>
      </c>
      <c r="R170" s="51">
        <f t="shared" si="107"/>
        <v>3249.9999999999986</v>
      </c>
      <c r="S170" s="9" t="s">
        <v>227</v>
      </c>
      <c r="T170" s="10" t="s">
        <v>7</v>
      </c>
      <c r="U170" s="11" t="s">
        <v>170</v>
      </c>
      <c r="V170" s="11" t="s">
        <v>286</v>
      </c>
      <c r="W170" s="40" t="s">
        <v>287</v>
      </c>
      <c r="X170" s="41" t="s">
        <v>228</v>
      </c>
      <c r="Z170" s="46"/>
      <c r="AA170" s="46"/>
      <c r="AB170" s="46"/>
    </row>
    <row r="171" spans="1:28" s="7" customFormat="1" ht="18" customHeight="1" x14ac:dyDescent="0.4">
      <c r="A171" s="8">
        <v>174</v>
      </c>
      <c r="B171" s="53" t="s">
        <v>30</v>
      </c>
      <c r="C171" s="53" t="s">
        <v>39</v>
      </c>
      <c r="D171" s="9" t="s">
        <v>41</v>
      </c>
      <c r="E171" s="87" t="s">
        <v>107</v>
      </c>
      <c r="F171" s="87">
        <v>1</v>
      </c>
      <c r="G171" s="29">
        <v>4590</v>
      </c>
      <c r="H171" s="60">
        <v>0.5</v>
      </c>
      <c r="I171" s="65">
        <v>0.18</v>
      </c>
      <c r="J171" s="68">
        <v>1944.92</v>
      </c>
      <c r="K171" s="68">
        <f>+J171*I171</f>
        <v>350.0856</v>
      </c>
      <c r="L171" s="68">
        <f t="shared" si="108"/>
        <v>2295.0056</v>
      </c>
      <c r="M171" s="6">
        <v>3150</v>
      </c>
      <c r="N171" s="6">
        <v>3150</v>
      </c>
      <c r="O171" s="58">
        <v>0.18</v>
      </c>
      <c r="P171" s="51">
        <f>+N171*0.847457627118644</f>
        <v>2669.4915254237285</v>
      </c>
      <c r="Q171" s="51">
        <f>+P171*18%</f>
        <v>480.50847457627111</v>
      </c>
      <c r="R171" s="51">
        <f>+P171+Q171</f>
        <v>3149.9999999999995</v>
      </c>
      <c r="S171" s="9" t="s">
        <v>225</v>
      </c>
      <c r="T171" s="10" t="s">
        <v>7</v>
      </c>
      <c r="U171" s="11" t="s">
        <v>170</v>
      </c>
      <c r="V171" s="11" t="s">
        <v>286</v>
      </c>
      <c r="W171" s="40" t="s">
        <v>287</v>
      </c>
      <c r="X171" s="41" t="s">
        <v>226</v>
      </c>
    </row>
    <row r="172" spans="1:28" s="32" customFormat="1" ht="18" customHeight="1" x14ac:dyDescent="0.4">
      <c r="A172" s="8">
        <v>175</v>
      </c>
      <c r="B172" s="53" t="s">
        <v>30</v>
      </c>
      <c r="C172" s="5" t="s">
        <v>29</v>
      </c>
      <c r="D172" s="9" t="s">
        <v>4</v>
      </c>
      <c r="E172" s="88" t="s">
        <v>116</v>
      </c>
      <c r="F172" s="88">
        <v>1</v>
      </c>
      <c r="G172" s="29">
        <v>2207</v>
      </c>
      <c r="H172" s="60">
        <v>0.52</v>
      </c>
      <c r="I172" s="65">
        <v>0.05</v>
      </c>
      <c r="J172" s="68">
        <v>1008.91</v>
      </c>
      <c r="K172" s="68">
        <f>+I172*J172</f>
        <v>50.445500000000003</v>
      </c>
      <c r="L172" s="68">
        <f>+J172+K172</f>
        <v>1059.3554999999999</v>
      </c>
      <c r="M172" s="29">
        <v>1435</v>
      </c>
      <c r="N172" s="29">
        <v>1435</v>
      </c>
      <c r="O172" s="58">
        <v>0.05</v>
      </c>
      <c r="P172" s="51">
        <f>+N172*0.952380952380952</f>
        <v>1366.6666666666661</v>
      </c>
      <c r="Q172" s="51">
        <f>+P172*5%</f>
        <v>68.3333333333333</v>
      </c>
      <c r="R172" s="51">
        <f t="shared" ref="R172:R173" si="109">+P172+Q172</f>
        <v>1434.9999999999993</v>
      </c>
      <c r="S172" s="9" t="s">
        <v>223</v>
      </c>
      <c r="T172" s="10" t="s">
        <v>7</v>
      </c>
      <c r="U172" s="11" t="s">
        <v>170</v>
      </c>
      <c r="V172" s="11" t="s">
        <v>286</v>
      </c>
      <c r="W172" s="40" t="s">
        <v>287</v>
      </c>
      <c r="X172" s="41" t="s">
        <v>224</v>
      </c>
      <c r="Z172" s="46"/>
      <c r="AA172" s="46"/>
      <c r="AB172" s="46"/>
    </row>
    <row r="173" spans="1:28" s="131" customFormat="1" ht="18" customHeight="1" x14ac:dyDescent="0.4">
      <c r="A173" s="116">
        <v>176</v>
      </c>
      <c r="B173" s="117" t="s">
        <v>30</v>
      </c>
      <c r="C173" s="118" t="s">
        <v>112</v>
      </c>
      <c r="D173" s="119" t="s">
        <v>20</v>
      </c>
      <c r="E173" s="120" t="s">
        <v>116</v>
      </c>
      <c r="F173" s="120">
        <v>1</v>
      </c>
      <c r="G173" s="121">
        <v>2999</v>
      </c>
      <c r="H173" s="122">
        <v>0.52</v>
      </c>
      <c r="I173" s="123">
        <v>0.05</v>
      </c>
      <c r="J173" s="124">
        <v>1370.97</v>
      </c>
      <c r="K173" s="124">
        <f>+I173*J173</f>
        <v>68.548500000000004</v>
      </c>
      <c r="L173" s="124">
        <f>+J173+K173</f>
        <v>1439.5185000000001</v>
      </c>
      <c r="M173" s="125">
        <v>2100</v>
      </c>
      <c r="N173" s="125">
        <v>2100</v>
      </c>
      <c r="O173" s="126">
        <v>0.05</v>
      </c>
      <c r="P173" s="127">
        <f>+N173*0.952380952380952</f>
        <v>1999.9999999999991</v>
      </c>
      <c r="Q173" s="127">
        <f>+P173*5%</f>
        <v>99.999999999999957</v>
      </c>
      <c r="R173" s="127">
        <f t="shared" si="109"/>
        <v>2099.9999999999991</v>
      </c>
      <c r="S173" s="128"/>
      <c r="T173" s="128" t="s">
        <v>7</v>
      </c>
      <c r="U173" s="129" t="s">
        <v>170</v>
      </c>
      <c r="V173" s="129" t="s">
        <v>170</v>
      </c>
      <c r="W173" s="130" t="s">
        <v>297</v>
      </c>
      <c r="X173" s="130" t="s">
        <v>172</v>
      </c>
      <c r="Z173" s="132"/>
      <c r="AA173" s="132"/>
      <c r="AB173" s="132"/>
    </row>
    <row r="174" spans="1:28" s="7" customFormat="1" ht="18" customHeight="1" x14ac:dyDescent="0.4">
      <c r="A174" s="8">
        <v>177</v>
      </c>
      <c r="B174" s="53" t="s">
        <v>30</v>
      </c>
      <c r="C174" s="53" t="s">
        <v>39</v>
      </c>
      <c r="D174" s="9" t="s">
        <v>18</v>
      </c>
      <c r="E174" s="87" t="s">
        <v>107</v>
      </c>
      <c r="F174" s="87">
        <v>1</v>
      </c>
      <c r="G174" s="29">
        <v>4590</v>
      </c>
      <c r="H174" s="60">
        <v>0.5</v>
      </c>
      <c r="I174" s="65">
        <v>0.18</v>
      </c>
      <c r="J174" s="68">
        <v>1944.92</v>
      </c>
      <c r="K174" s="68">
        <f>+J174*I174</f>
        <v>350.0856</v>
      </c>
      <c r="L174" s="68">
        <f t="shared" ref="L174" si="110">+J174+K174</f>
        <v>2295.0056</v>
      </c>
      <c r="M174" s="6">
        <v>3150</v>
      </c>
      <c r="N174" s="6">
        <v>3150</v>
      </c>
      <c r="O174" s="58">
        <v>0.18</v>
      </c>
      <c r="P174" s="51">
        <f>+N174*0.847457627118644</f>
        <v>2669.4915254237285</v>
      </c>
      <c r="Q174" s="51">
        <f>+P174*18%</f>
        <v>480.50847457627111</v>
      </c>
      <c r="R174" s="51">
        <f>+P174+Q174</f>
        <v>3149.9999999999995</v>
      </c>
      <c r="S174" s="9" t="s">
        <v>221</v>
      </c>
      <c r="T174" s="10" t="s">
        <v>7</v>
      </c>
      <c r="U174" s="11" t="s">
        <v>170</v>
      </c>
      <c r="V174" s="11" t="s">
        <v>286</v>
      </c>
      <c r="W174" s="40" t="s">
        <v>287</v>
      </c>
      <c r="X174" s="41" t="s">
        <v>222</v>
      </c>
    </row>
    <row r="175" spans="1:28" s="32" customFormat="1" ht="18" customHeight="1" x14ac:dyDescent="0.4">
      <c r="A175" s="8">
        <v>178</v>
      </c>
      <c r="B175" s="53" t="s">
        <v>30</v>
      </c>
      <c r="C175" s="14" t="s">
        <v>34</v>
      </c>
      <c r="D175" s="9" t="s">
        <v>42</v>
      </c>
      <c r="E175" s="87" t="s">
        <v>107</v>
      </c>
      <c r="F175" s="87">
        <v>1</v>
      </c>
      <c r="G175" s="29">
        <v>4500</v>
      </c>
      <c r="H175" s="60">
        <v>0.5</v>
      </c>
      <c r="I175" s="65">
        <v>0.05</v>
      </c>
      <c r="J175" s="68">
        <v>2142.86</v>
      </c>
      <c r="K175" s="68">
        <f>+I175*J175</f>
        <v>107.14300000000001</v>
      </c>
      <c r="L175" s="68">
        <f>+J175+K175</f>
        <v>2250.0030000000002</v>
      </c>
      <c r="M175" s="6">
        <v>3000</v>
      </c>
      <c r="N175" s="6">
        <v>3000</v>
      </c>
      <c r="O175" s="58">
        <v>0.05</v>
      </c>
      <c r="P175" s="51">
        <f>+N175*0.952380952380952</f>
        <v>2857.142857142856</v>
      </c>
      <c r="Q175" s="51">
        <f>+P175*5%</f>
        <v>142.8571428571428</v>
      </c>
      <c r="R175" s="51">
        <f t="shared" ref="R175:R179" si="111">+P175+Q175</f>
        <v>2999.9999999999986</v>
      </c>
      <c r="S175" s="9" t="s">
        <v>164</v>
      </c>
      <c r="T175" s="10" t="s">
        <v>6</v>
      </c>
      <c r="U175" s="9" t="s">
        <v>164</v>
      </c>
      <c r="V175" s="9" t="s">
        <v>164</v>
      </c>
      <c r="W175" s="41" t="s">
        <v>249</v>
      </c>
      <c r="X175" s="92" t="s">
        <v>195</v>
      </c>
      <c r="Y175" s="32" t="s">
        <v>173</v>
      </c>
      <c r="Z175" s="46"/>
      <c r="AA175" s="46"/>
      <c r="AB175" s="46"/>
    </row>
    <row r="176" spans="1:28" s="131" customFormat="1" ht="18" customHeight="1" x14ac:dyDescent="0.4">
      <c r="A176" s="116">
        <v>179</v>
      </c>
      <c r="B176" s="117" t="s">
        <v>36</v>
      </c>
      <c r="C176" s="118" t="s">
        <v>52</v>
      </c>
      <c r="D176" s="119" t="s">
        <v>16</v>
      </c>
      <c r="E176" s="120" t="s">
        <v>116</v>
      </c>
      <c r="F176" s="120">
        <v>1</v>
      </c>
      <c r="G176" s="121">
        <v>7011</v>
      </c>
      <c r="H176" s="122">
        <v>0.52</v>
      </c>
      <c r="I176" s="123">
        <v>0.18</v>
      </c>
      <c r="J176" s="124">
        <v>2851.93</v>
      </c>
      <c r="K176" s="124">
        <f t="shared" ref="K176:K177" si="112">+I176*J176</f>
        <v>513.34739999999999</v>
      </c>
      <c r="L176" s="124">
        <f t="shared" ref="L176:L177" si="113">+J176+K176</f>
        <v>3365.2773999999999</v>
      </c>
      <c r="M176" s="121">
        <v>4206</v>
      </c>
      <c r="N176" s="121">
        <v>4206</v>
      </c>
      <c r="O176" s="126">
        <v>0.18</v>
      </c>
      <c r="P176" s="127">
        <f>+N176*0.847457627118644</f>
        <v>3564.4067796610166</v>
      </c>
      <c r="Q176" s="127">
        <f>+P176*18%</f>
        <v>641.59322033898297</v>
      </c>
      <c r="R176" s="127">
        <f t="shared" si="111"/>
        <v>4206</v>
      </c>
      <c r="S176" s="119"/>
      <c r="T176" s="128" t="s">
        <v>7</v>
      </c>
      <c r="U176" s="129" t="s">
        <v>170</v>
      </c>
      <c r="V176" s="129" t="s">
        <v>170</v>
      </c>
      <c r="W176" s="130" t="s">
        <v>297</v>
      </c>
      <c r="X176" s="130" t="s">
        <v>172</v>
      </c>
      <c r="Z176" s="132"/>
      <c r="AA176" s="132"/>
      <c r="AB176" s="132"/>
    </row>
    <row r="177" spans="1:28" s="32" customFormat="1" ht="18" customHeight="1" x14ac:dyDescent="0.4">
      <c r="A177" s="8">
        <v>180</v>
      </c>
      <c r="B177" s="53" t="s">
        <v>30</v>
      </c>
      <c r="C177" s="5" t="s">
        <v>32</v>
      </c>
      <c r="D177" s="9" t="s">
        <v>20</v>
      </c>
      <c r="E177" s="88" t="s">
        <v>116</v>
      </c>
      <c r="F177" s="88">
        <v>1</v>
      </c>
      <c r="G177" s="29">
        <v>1967</v>
      </c>
      <c r="H177" s="60">
        <v>0.52</v>
      </c>
      <c r="I177" s="65">
        <v>0.05</v>
      </c>
      <c r="J177" s="68">
        <v>899.2</v>
      </c>
      <c r="K177" s="68">
        <f t="shared" si="112"/>
        <v>44.960000000000008</v>
      </c>
      <c r="L177" s="68">
        <f t="shared" si="113"/>
        <v>944.16000000000008</v>
      </c>
      <c r="M177" s="29">
        <v>1377</v>
      </c>
      <c r="N177" s="29">
        <v>1377</v>
      </c>
      <c r="O177" s="58">
        <v>0.05</v>
      </c>
      <c r="P177" s="51">
        <f>+N177*0.952380952380952</f>
        <v>1311.4285714285709</v>
      </c>
      <c r="Q177" s="51">
        <f>+P177*5%</f>
        <v>65.571428571428541</v>
      </c>
      <c r="R177" s="51">
        <f t="shared" si="111"/>
        <v>1376.9999999999993</v>
      </c>
      <c r="S177" s="9" t="s">
        <v>217</v>
      </c>
      <c r="T177" s="10" t="s">
        <v>7</v>
      </c>
      <c r="U177" s="11" t="s">
        <v>170</v>
      </c>
      <c r="V177" s="11" t="s">
        <v>286</v>
      </c>
      <c r="W177" s="40" t="s">
        <v>287</v>
      </c>
      <c r="X177" s="41" t="s">
        <v>218</v>
      </c>
      <c r="Z177" s="46"/>
      <c r="AA177" s="46"/>
      <c r="AB177" s="46"/>
    </row>
    <row r="178" spans="1:28" s="32" customFormat="1" ht="18" customHeight="1" x14ac:dyDescent="0.4">
      <c r="A178" s="8">
        <v>181</v>
      </c>
      <c r="B178" s="53" t="s">
        <v>30</v>
      </c>
      <c r="C178" s="5" t="s">
        <v>112</v>
      </c>
      <c r="D178" s="9" t="s">
        <v>18</v>
      </c>
      <c r="E178" s="88" t="s">
        <v>116</v>
      </c>
      <c r="F178" s="88">
        <v>1</v>
      </c>
      <c r="G178" s="29">
        <v>2999</v>
      </c>
      <c r="H178" s="60">
        <v>0.52</v>
      </c>
      <c r="I178" s="65">
        <v>0.05</v>
      </c>
      <c r="J178" s="68">
        <v>1370.97</v>
      </c>
      <c r="K178" s="68">
        <f>+I178*J178</f>
        <v>68.548500000000004</v>
      </c>
      <c r="L178" s="68">
        <f>+J178+K178</f>
        <v>1439.5185000000001</v>
      </c>
      <c r="M178" s="6">
        <v>1799</v>
      </c>
      <c r="N178" s="6">
        <v>1799</v>
      </c>
      <c r="O178" s="58">
        <v>0.05</v>
      </c>
      <c r="P178" s="51">
        <f>+N178*0.952380952380952</f>
        <v>1713.3333333333326</v>
      </c>
      <c r="Q178" s="51">
        <f>+P178*5%</f>
        <v>85.666666666666629</v>
      </c>
      <c r="R178" s="51">
        <f t="shared" si="111"/>
        <v>1798.9999999999991</v>
      </c>
      <c r="S178" s="10" t="s">
        <v>215</v>
      </c>
      <c r="T178" s="10" t="s">
        <v>7</v>
      </c>
      <c r="U178" s="11" t="s">
        <v>170</v>
      </c>
      <c r="V178" s="11" t="s">
        <v>286</v>
      </c>
      <c r="W178" s="40" t="s">
        <v>287</v>
      </c>
      <c r="X178" s="41" t="s">
        <v>216</v>
      </c>
      <c r="Z178" s="46"/>
      <c r="AA178" s="46"/>
      <c r="AB178" s="46"/>
    </row>
    <row r="179" spans="1:28" s="131" customFormat="1" ht="18" customHeight="1" x14ac:dyDescent="0.4">
      <c r="A179" s="116">
        <v>182</v>
      </c>
      <c r="B179" s="117" t="s">
        <v>30</v>
      </c>
      <c r="C179" s="118" t="s">
        <v>29</v>
      </c>
      <c r="D179" s="119" t="s">
        <v>20</v>
      </c>
      <c r="E179" s="142" t="s">
        <v>107</v>
      </c>
      <c r="F179" s="142">
        <v>1</v>
      </c>
      <c r="G179" s="121">
        <v>2207</v>
      </c>
      <c r="H179" s="122">
        <v>0.5</v>
      </c>
      <c r="I179" s="123">
        <v>0.05</v>
      </c>
      <c r="J179" s="146">
        <v>1050.95</v>
      </c>
      <c r="K179" s="147">
        <f>+J179*I179</f>
        <v>52.547500000000007</v>
      </c>
      <c r="L179" s="147">
        <f t="shared" ref="L179" si="114">+J179+K179</f>
        <v>1103.4974999999999</v>
      </c>
      <c r="M179" s="121">
        <v>1545</v>
      </c>
      <c r="N179" s="121">
        <v>1545</v>
      </c>
      <c r="O179" s="126">
        <v>0.05</v>
      </c>
      <c r="P179" s="127">
        <f>+N179*0.952380952380952</f>
        <v>1471.4285714285709</v>
      </c>
      <c r="Q179" s="127">
        <f>+P179*5%</f>
        <v>73.571428571428541</v>
      </c>
      <c r="R179" s="127">
        <f t="shared" si="111"/>
        <v>1544.9999999999993</v>
      </c>
      <c r="S179" s="119" t="s">
        <v>181</v>
      </c>
      <c r="T179" s="128" t="s">
        <v>7</v>
      </c>
      <c r="U179" s="129" t="s">
        <v>170</v>
      </c>
      <c r="V179" s="129" t="s">
        <v>170</v>
      </c>
      <c r="W179" s="130" t="s">
        <v>297</v>
      </c>
      <c r="X179" s="130" t="s">
        <v>172</v>
      </c>
      <c r="Z179" s="132"/>
      <c r="AA179" s="132"/>
      <c r="AB179" s="132"/>
    </row>
    <row r="180" spans="1:28" s="131" customFormat="1" ht="18" customHeight="1" x14ac:dyDescent="0.4">
      <c r="A180" s="116">
        <v>183</v>
      </c>
      <c r="B180" s="117" t="s">
        <v>30</v>
      </c>
      <c r="C180" s="118" t="s">
        <v>29</v>
      </c>
      <c r="D180" s="119" t="s">
        <v>20</v>
      </c>
      <c r="E180" s="142" t="s">
        <v>107</v>
      </c>
      <c r="F180" s="142">
        <v>1</v>
      </c>
      <c r="G180" s="121">
        <v>2207</v>
      </c>
      <c r="H180" s="122">
        <v>0.5</v>
      </c>
      <c r="I180" s="123">
        <v>0.05</v>
      </c>
      <c r="J180" s="146">
        <v>1050.95</v>
      </c>
      <c r="K180" s="147">
        <f>+J180*I180</f>
        <v>52.547500000000007</v>
      </c>
      <c r="L180" s="147">
        <f t="shared" ref="L180:L181" si="115">+J180+K180</f>
        <v>1103.4974999999999</v>
      </c>
      <c r="M180" s="121">
        <v>1545</v>
      </c>
      <c r="N180" s="121">
        <v>1545</v>
      </c>
      <c r="O180" s="126">
        <v>0.05</v>
      </c>
      <c r="P180" s="127">
        <f>+N180*0.952380952380952</f>
        <v>1471.4285714285709</v>
      </c>
      <c r="Q180" s="127">
        <f>+P180*5%</f>
        <v>73.571428571428541</v>
      </c>
      <c r="R180" s="127">
        <f t="shared" ref="R180:R182" si="116">+P180+Q180</f>
        <v>1544.9999999999993</v>
      </c>
      <c r="S180" s="119" t="s">
        <v>181</v>
      </c>
      <c r="T180" s="128" t="s">
        <v>7</v>
      </c>
      <c r="U180" s="129" t="s">
        <v>170</v>
      </c>
      <c r="V180" s="129" t="s">
        <v>170</v>
      </c>
      <c r="W180" s="130" t="s">
        <v>297</v>
      </c>
      <c r="X180" s="130" t="s">
        <v>172</v>
      </c>
      <c r="Z180" s="132"/>
      <c r="AA180" s="132"/>
      <c r="AB180" s="132"/>
    </row>
    <row r="181" spans="1:28" s="32" customFormat="1" ht="18" customHeight="1" x14ac:dyDescent="0.4">
      <c r="A181" s="8">
        <v>184</v>
      </c>
      <c r="B181" s="13" t="s">
        <v>36</v>
      </c>
      <c r="C181" s="13" t="s">
        <v>33</v>
      </c>
      <c r="D181" s="9" t="s">
        <v>41</v>
      </c>
      <c r="E181" s="87" t="s">
        <v>107</v>
      </c>
      <c r="F181" s="87">
        <v>1</v>
      </c>
      <c r="G181" s="29">
        <v>9000</v>
      </c>
      <c r="H181" s="60">
        <v>0.5</v>
      </c>
      <c r="I181" s="65">
        <v>0.18</v>
      </c>
      <c r="J181" s="68">
        <v>3813.75</v>
      </c>
      <c r="K181" s="68">
        <f>+I181*J181</f>
        <v>686.47500000000002</v>
      </c>
      <c r="L181" s="68">
        <f t="shared" si="115"/>
        <v>4500.2250000000004</v>
      </c>
      <c r="M181" s="6">
        <v>4206</v>
      </c>
      <c r="N181" s="6">
        <v>4206</v>
      </c>
      <c r="O181" s="58">
        <v>0.18</v>
      </c>
      <c r="P181" s="51">
        <f t="shared" ref="P181" si="117">+N181*0.847457627118644</f>
        <v>3564.4067796610166</v>
      </c>
      <c r="Q181" s="51">
        <f>+P181*18%</f>
        <v>641.59322033898297</v>
      </c>
      <c r="R181" s="51">
        <f t="shared" si="116"/>
        <v>4206</v>
      </c>
      <c r="S181" s="9" t="s">
        <v>213</v>
      </c>
      <c r="T181" s="10" t="s">
        <v>7</v>
      </c>
      <c r="U181" s="11" t="s">
        <v>170</v>
      </c>
      <c r="V181" s="11" t="s">
        <v>286</v>
      </c>
      <c r="W181" s="40" t="s">
        <v>287</v>
      </c>
      <c r="X181" s="41" t="s">
        <v>214</v>
      </c>
      <c r="Y181" s="32" t="s">
        <v>174</v>
      </c>
      <c r="Z181" s="46"/>
      <c r="AA181" s="46"/>
      <c r="AB181" s="46"/>
    </row>
    <row r="182" spans="1:28" s="131" customFormat="1" ht="18" customHeight="1" x14ac:dyDescent="0.4">
      <c r="A182" s="116">
        <v>185</v>
      </c>
      <c r="B182" s="117" t="s">
        <v>30</v>
      </c>
      <c r="C182" s="118" t="s">
        <v>112</v>
      </c>
      <c r="D182" s="119" t="s">
        <v>20</v>
      </c>
      <c r="E182" s="120" t="s">
        <v>116</v>
      </c>
      <c r="F182" s="120">
        <v>1</v>
      </c>
      <c r="G182" s="121">
        <v>2999</v>
      </c>
      <c r="H182" s="122">
        <v>0.52</v>
      </c>
      <c r="I182" s="123">
        <v>0.05</v>
      </c>
      <c r="J182" s="124">
        <v>1370.97</v>
      </c>
      <c r="K182" s="124">
        <f>+I182*J182</f>
        <v>68.548500000000004</v>
      </c>
      <c r="L182" s="124">
        <f>+J182+K182</f>
        <v>1439.5185000000001</v>
      </c>
      <c r="M182" s="125">
        <v>2100</v>
      </c>
      <c r="N182" s="125">
        <v>2100</v>
      </c>
      <c r="O182" s="126">
        <v>0.05</v>
      </c>
      <c r="P182" s="127">
        <f t="shared" ref="P182:P195" si="118">+N182*0.952380952380952</f>
        <v>1999.9999999999991</v>
      </c>
      <c r="Q182" s="127">
        <f t="shared" ref="Q182:Q195" si="119">+P182*5%</f>
        <v>99.999999999999957</v>
      </c>
      <c r="R182" s="127">
        <f t="shared" si="116"/>
        <v>2099.9999999999991</v>
      </c>
      <c r="S182" s="128"/>
      <c r="T182" s="128" t="s">
        <v>7</v>
      </c>
      <c r="U182" s="129" t="s">
        <v>170</v>
      </c>
      <c r="V182" s="129" t="s">
        <v>170</v>
      </c>
      <c r="W182" s="130" t="s">
        <v>297</v>
      </c>
      <c r="X182" s="130" t="s">
        <v>172</v>
      </c>
      <c r="Z182" s="132"/>
      <c r="AA182" s="132"/>
      <c r="AB182" s="132"/>
    </row>
    <row r="183" spans="1:28" s="32" customFormat="1" ht="18" customHeight="1" x14ac:dyDescent="0.4">
      <c r="A183" s="8">
        <v>186</v>
      </c>
      <c r="B183" s="53" t="s">
        <v>96</v>
      </c>
      <c r="C183" s="5" t="s">
        <v>165</v>
      </c>
      <c r="D183" s="9" t="s">
        <v>9</v>
      </c>
      <c r="E183" s="88" t="s">
        <v>175</v>
      </c>
      <c r="F183" s="88">
        <v>1</v>
      </c>
      <c r="G183" s="29">
        <v>2799</v>
      </c>
      <c r="H183" s="60">
        <v>0.52</v>
      </c>
      <c r="I183" s="65">
        <v>0.05</v>
      </c>
      <c r="J183" s="68">
        <v>1279.54</v>
      </c>
      <c r="K183" s="68">
        <f>+I183*J183</f>
        <v>63.977000000000004</v>
      </c>
      <c r="L183" s="68">
        <f>+J183+K183</f>
        <v>1343.5170000000001</v>
      </c>
      <c r="M183" s="6">
        <v>1680</v>
      </c>
      <c r="N183" s="6">
        <v>1680</v>
      </c>
      <c r="O183" s="58">
        <v>0.05</v>
      </c>
      <c r="P183" s="51">
        <f t="shared" si="118"/>
        <v>1599.9999999999993</v>
      </c>
      <c r="Q183" s="51">
        <f t="shared" si="119"/>
        <v>79.999999999999972</v>
      </c>
      <c r="R183" s="51">
        <f t="shared" ref="R183:R186" si="120">+P183+Q183</f>
        <v>1679.9999999999993</v>
      </c>
      <c r="S183" s="10" t="s">
        <v>211</v>
      </c>
      <c r="T183" s="10" t="s">
        <v>7</v>
      </c>
      <c r="U183" s="11" t="s">
        <v>170</v>
      </c>
      <c r="V183" s="11" t="s">
        <v>286</v>
      </c>
      <c r="W183" s="40" t="s">
        <v>287</v>
      </c>
      <c r="X183" s="41" t="s">
        <v>212</v>
      </c>
      <c r="Z183" s="46"/>
      <c r="AA183" s="46"/>
      <c r="AB183" s="46"/>
    </row>
    <row r="184" spans="1:28" s="32" customFormat="1" ht="18" customHeight="1" x14ac:dyDescent="0.4">
      <c r="A184" s="8">
        <v>187</v>
      </c>
      <c r="B184" s="53" t="s">
        <v>36</v>
      </c>
      <c r="C184" s="5" t="s">
        <v>35</v>
      </c>
      <c r="D184" s="9" t="s">
        <v>42</v>
      </c>
      <c r="E184" s="88" t="s">
        <v>116</v>
      </c>
      <c r="F184" s="88">
        <v>1</v>
      </c>
      <c r="G184" s="29">
        <v>5000</v>
      </c>
      <c r="H184" s="60">
        <v>0.52</v>
      </c>
      <c r="I184" s="65">
        <v>0.05</v>
      </c>
      <c r="J184" s="68">
        <v>2285.71</v>
      </c>
      <c r="K184" s="68">
        <f>+I184*J184</f>
        <v>114.28550000000001</v>
      </c>
      <c r="L184" s="68">
        <f>+J184+K184</f>
        <v>2399.9955</v>
      </c>
      <c r="M184" s="29">
        <v>3000</v>
      </c>
      <c r="N184" s="29">
        <v>3000</v>
      </c>
      <c r="O184" s="58">
        <v>0.05</v>
      </c>
      <c r="P184" s="51">
        <f t="shared" si="118"/>
        <v>2857.142857142856</v>
      </c>
      <c r="Q184" s="51">
        <f t="shared" si="119"/>
        <v>142.8571428571428</v>
      </c>
      <c r="R184" s="51">
        <f t="shared" si="120"/>
        <v>2999.9999999999986</v>
      </c>
      <c r="S184" s="9" t="s">
        <v>207</v>
      </c>
      <c r="T184" s="10" t="s">
        <v>7</v>
      </c>
      <c r="U184" s="11" t="s">
        <v>170</v>
      </c>
      <c r="V184" s="11" t="s">
        <v>286</v>
      </c>
      <c r="W184" s="40" t="s">
        <v>287</v>
      </c>
      <c r="X184" s="41" t="s">
        <v>208</v>
      </c>
      <c r="Z184" s="46"/>
      <c r="AA184" s="46"/>
      <c r="AB184" s="46"/>
    </row>
    <row r="185" spans="1:28" s="131" customFormat="1" ht="18" customHeight="1" x14ac:dyDescent="0.4">
      <c r="A185" s="116">
        <v>188</v>
      </c>
      <c r="B185" s="117" t="s">
        <v>30</v>
      </c>
      <c r="C185" s="118" t="s">
        <v>32</v>
      </c>
      <c r="D185" s="119" t="s">
        <v>41</v>
      </c>
      <c r="E185" s="120" t="s">
        <v>116</v>
      </c>
      <c r="F185" s="120">
        <v>1</v>
      </c>
      <c r="G185" s="121">
        <v>1967</v>
      </c>
      <c r="H185" s="122">
        <v>0.52</v>
      </c>
      <c r="I185" s="123">
        <v>0.05</v>
      </c>
      <c r="J185" s="124">
        <v>899.2</v>
      </c>
      <c r="K185" s="124">
        <f t="shared" ref="K185" si="121">+I185*J185</f>
        <v>44.960000000000008</v>
      </c>
      <c r="L185" s="124">
        <f t="shared" ref="L185:L186" si="122">+J185+K185</f>
        <v>944.16000000000008</v>
      </c>
      <c r="M185" s="121">
        <v>1181</v>
      </c>
      <c r="N185" s="121">
        <v>1181</v>
      </c>
      <c r="O185" s="126">
        <v>0.05</v>
      </c>
      <c r="P185" s="127">
        <f t="shared" si="118"/>
        <v>1124.7619047619044</v>
      </c>
      <c r="Q185" s="127">
        <f t="shared" si="119"/>
        <v>56.238095238095219</v>
      </c>
      <c r="R185" s="127">
        <f t="shared" si="120"/>
        <v>1180.9999999999995</v>
      </c>
      <c r="S185" s="119"/>
      <c r="T185" s="128" t="s">
        <v>7</v>
      </c>
      <c r="U185" s="129" t="s">
        <v>170</v>
      </c>
      <c r="V185" s="129" t="s">
        <v>170</v>
      </c>
      <c r="W185" s="130" t="s">
        <v>297</v>
      </c>
      <c r="X185" s="130" t="s">
        <v>172</v>
      </c>
      <c r="Z185" s="132"/>
      <c r="AA185" s="132"/>
      <c r="AB185" s="132"/>
    </row>
    <row r="186" spans="1:28" s="32" customFormat="1" ht="18" customHeight="1" x14ac:dyDescent="0.4">
      <c r="A186" s="8">
        <v>189</v>
      </c>
      <c r="B186" s="53" t="s">
        <v>30</v>
      </c>
      <c r="C186" s="5" t="s">
        <v>29</v>
      </c>
      <c r="D186" s="9" t="s">
        <v>42</v>
      </c>
      <c r="E186" s="87" t="s">
        <v>107</v>
      </c>
      <c r="F186" s="87">
        <v>1</v>
      </c>
      <c r="G186" s="29">
        <v>2207</v>
      </c>
      <c r="H186" s="60">
        <v>0.5</v>
      </c>
      <c r="I186" s="65">
        <v>0.05</v>
      </c>
      <c r="J186" s="66">
        <v>1050.95</v>
      </c>
      <c r="K186" s="67">
        <f>+J186*I186</f>
        <v>52.547500000000007</v>
      </c>
      <c r="L186" s="67">
        <f t="shared" si="122"/>
        <v>1103.4974999999999</v>
      </c>
      <c r="M186" s="29">
        <v>1325</v>
      </c>
      <c r="N186" s="29">
        <v>1325</v>
      </c>
      <c r="O186" s="58">
        <v>0.05</v>
      </c>
      <c r="P186" s="51">
        <f t="shared" si="118"/>
        <v>1261.9047619047615</v>
      </c>
      <c r="Q186" s="51">
        <f t="shared" si="119"/>
        <v>63.095238095238074</v>
      </c>
      <c r="R186" s="51">
        <f t="shared" si="120"/>
        <v>1324.9999999999995</v>
      </c>
      <c r="S186" s="9" t="s">
        <v>203</v>
      </c>
      <c r="T186" s="10" t="s">
        <v>7</v>
      </c>
      <c r="U186" s="11" t="s">
        <v>170</v>
      </c>
      <c r="V186" s="11" t="s">
        <v>286</v>
      </c>
      <c r="W186" s="40" t="s">
        <v>287</v>
      </c>
      <c r="X186" s="41" t="s">
        <v>204</v>
      </c>
      <c r="Z186" s="46"/>
      <c r="AA186" s="46"/>
      <c r="AB186" s="46"/>
    </row>
    <row r="187" spans="1:28" s="32" customFormat="1" ht="18" customHeight="1" x14ac:dyDescent="0.4">
      <c r="A187" s="8">
        <v>190</v>
      </c>
      <c r="B187" s="53" t="s">
        <v>96</v>
      </c>
      <c r="C187" s="5" t="s">
        <v>165</v>
      </c>
      <c r="D187" s="9" t="s">
        <v>16</v>
      </c>
      <c r="E187" s="88" t="s">
        <v>175</v>
      </c>
      <c r="F187" s="88">
        <v>1</v>
      </c>
      <c r="G187" s="29">
        <v>2799</v>
      </c>
      <c r="H187" s="60">
        <v>0.52</v>
      </c>
      <c r="I187" s="65">
        <v>0.05</v>
      </c>
      <c r="J187" s="68">
        <v>1279.54</v>
      </c>
      <c r="K187" s="68">
        <f>+I187*J187</f>
        <v>63.977000000000004</v>
      </c>
      <c r="L187" s="68">
        <f>+J187+K187</f>
        <v>1343.5170000000001</v>
      </c>
      <c r="M187" s="6">
        <v>1400</v>
      </c>
      <c r="N187" s="6">
        <v>1400</v>
      </c>
      <c r="O187" s="58">
        <v>0.05</v>
      </c>
      <c r="P187" s="51">
        <f t="shared" si="118"/>
        <v>1333.3333333333328</v>
      </c>
      <c r="Q187" s="51">
        <f t="shared" si="119"/>
        <v>66.666666666666643</v>
      </c>
      <c r="R187" s="51">
        <f t="shared" ref="R187:R188" si="123">+P187+Q187</f>
        <v>1399.9999999999995</v>
      </c>
      <c r="S187" s="10" t="s">
        <v>201</v>
      </c>
      <c r="T187" s="10" t="s">
        <v>7</v>
      </c>
      <c r="U187" s="11" t="s">
        <v>170</v>
      </c>
      <c r="V187" s="11" t="s">
        <v>286</v>
      </c>
      <c r="W187" s="40" t="s">
        <v>287</v>
      </c>
      <c r="X187" s="41" t="s">
        <v>202</v>
      </c>
      <c r="Z187" s="46"/>
      <c r="AA187" s="46"/>
      <c r="AB187" s="46"/>
    </row>
    <row r="188" spans="1:28" s="32" customFormat="1" ht="18" customHeight="1" x14ac:dyDescent="0.4">
      <c r="A188" s="8">
        <v>191</v>
      </c>
      <c r="B188" s="53" t="s">
        <v>176</v>
      </c>
      <c r="C188" s="5"/>
      <c r="D188" s="9"/>
      <c r="E188" s="88"/>
      <c r="F188" s="88">
        <v>2</v>
      </c>
      <c r="G188" s="29">
        <v>243</v>
      </c>
      <c r="H188" s="60">
        <v>0.52</v>
      </c>
      <c r="I188" s="65">
        <v>0.05</v>
      </c>
      <c r="J188" s="68">
        <v>111.09</v>
      </c>
      <c r="K188" s="68">
        <f t="shared" ref="K188" si="124">+I188*J188</f>
        <v>5.5545000000000009</v>
      </c>
      <c r="L188" s="68">
        <f>+J188+K188</f>
        <v>116.64450000000001</v>
      </c>
      <c r="M188" s="6">
        <v>170</v>
      </c>
      <c r="N188" s="6">
        <v>340</v>
      </c>
      <c r="O188" s="58">
        <v>0.05</v>
      </c>
      <c r="P188" s="51">
        <f t="shared" si="118"/>
        <v>323.80952380952368</v>
      </c>
      <c r="Q188" s="51">
        <f t="shared" si="119"/>
        <v>16.190476190476186</v>
      </c>
      <c r="R188" s="51">
        <f t="shared" si="123"/>
        <v>339.99999999999989</v>
      </c>
      <c r="S188" s="10"/>
      <c r="T188" s="10" t="s">
        <v>7</v>
      </c>
      <c r="U188" s="11" t="s">
        <v>170</v>
      </c>
      <c r="V188" s="11" t="s">
        <v>170</v>
      </c>
      <c r="W188" s="41" t="s">
        <v>296</v>
      </c>
      <c r="X188" s="41" t="s">
        <v>177</v>
      </c>
      <c r="Z188" s="46"/>
      <c r="AA188" s="46"/>
      <c r="AB188" s="46"/>
    </row>
    <row r="189" spans="1:28" s="32" customFormat="1" ht="18" customHeight="1" x14ac:dyDescent="0.4">
      <c r="A189" s="8">
        <v>192</v>
      </c>
      <c r="B189" s="53" t="s">
        <v>178</v>
      </c>
      <c r="C189" s="5"/>
      <c r="D189" s="9"/>
      <c r="E189" s="88"/>
      <c r="F189" s="88">
        <v>4</v>
      </c>
      <c r="G189" s="29">
        <v>21.84</v>
      </c>
      <c r="H189" s="60">
        <v>0.52</v>
      </c>
      <c r="I189" s="65">
        <v>0.05</v>
      </c>
      <c r="J189" s="68">
        <v>9.98</v>
      </c>
      <c r="K189" s="68">
        <f t="shared" ref="K189:K190" si="125">+I189*J189</f>
        <v>0.49900000000000005</v>
      </c>
      <c r="L189" s="68">
        <f t="shared" ref="L189" si="126">+J189+K189</f>
        <v>10.479000000000001</v>
      </c>
      <c r="M189" s="6">
        <v>35</v>
      </c>
      <c r="N189" s="6">
        <v>140</v>
      </c>
      <c r="O189" s="58">
        <v>0.18</v>
      </c>
      <c r="P189" s="51">
        <f t="shared" ref="P189" si="127">+N189*0.847457627118644</f>
        <v>118.64406779661016</v>
      </c>
      <c r="Q189" s="51">
        <f>+P189*18%</f>
        <v>21.355932203389827</v>
      </c>
      <c r="R189" s="51">
        <f t="shared" ref="R189:R190" si="128">+P189+Q189</f>
        <v>140</v>
      </c>
      <c r="S189" s="10" t="s">
        <v>231</v>
      </c>
      <c r="T189" s="10" t="s">
        <v>7</v>
      </c>
      <c r="U189" s="11" t="s">
        <v>170</v>
      </c>
      <c r="V189" s="11" t="s">
        <v>286</v>
      </c>
      <c r="W189" s="40" t="s">
        <v>287</v>
      </c>
      <c r="X189" s="41" t="s">
        <v>232</v>
      </c>
      <c r="Z189" s="46"/>
      <c r="AA189" s="46"/>
      <c r="AB189" s="46"/>
    </row>
    <row r="190" spans="1:28" s="131" customFormat="1" ht="18" customHeight="1" x14ac:dyDescent="0.4">
      <c r="A190" s="116">
        <v>193</v>
      </c>
      <c r="B190" s="117" t="s">
        <v>176</v>
      </c>
      <c r="C190" s="118"/>
      <c r="D190" s="119"/>
      <c r="E190" s="120"/>
      <c r="F190" s="120">
        <v>1</v>
      </c>
      <c r="G190" s="121">
        <v>243</v>
      </c>
      <c r="H190" s="122">
        <v>0.52</v>
      </c>
      <c r="I190" s="123">
        <v>0.05</v>
      </c>
      <c r="J190" s="124">
        <v>111.09</v>
      </c>
      <c r="K190" s="124">
        <f t="shared" si="125"/>
        <v>5.5545000000000009</v>
      </c>
      <c r="L190" s="124">
        <f>+J190+K190</f>
        <v>116.64450000000001</v>
      </c>
      <c r="M190" s="125">
        <v>170</v>
      </c>
      <c r="N190" s="125">
        <v>170</v>
      </c>
      <c r="O190" s="126">
        <v>0.05</v>
      </c>
      <c r="P190" s="127">
        <f t="shared" si="118"/>
        <v>161.90476190476184</v>
      </c>
      <c r="Q190" s="127">
        <f t="shared" si="119"/>
        <v>8.0952380952380931</v>
      </c>
      <c r="R190" s="127">
        <f t="shared" si="128"/>
        <v>169.99999999999994</v>
      </c>
      <c r="S190" s="128"/>
      <c r="T190" s="128" t="s">
        <v>7</v>
      </c>
      <c r="U190" s="129" t="s">
        <v>170</v>
      </c>
      <c r="V190" s="129" t="s">
        <v>170</v>
      </c>
      <c r="W190" s="130" t="s">
        <v>297</v>
      </c>
      <c r="X190" s="130" t="s">
        <v>172</v>
      </c>
      <c r="Z190" s="132"/>
      <c r="AA190" s="132"/>
      <c r="AB190" s="132"/>
    </row>
    <row r="191" spans="1:28" s="32" customFormat="1" ht="18" customHeight="1" x14ac:dyDescent="0.4">
      <c r="A191" s="8">
        <v>194</v>
      </c>
      <c r="B191" s="53" t="s">
        <v>176</v>
      </c>
      <c r="C191" s="5"/>
      <c r="D191" s="9"/>
      <c r="E191" s="88"/>
      <c r="F191" s="88">
        <v>1</v>
      </c>
      <c r="G191" s="29">
        <v>243</v>
      </c>
      <c r="H191" s="60">
        <v>0.52</v>
      </c>
      <c r="I191" s="65">
        <v>0.05</v>
      </c>
      <c r="J191" s="68">
        <v>111.09</v>
      </c>
      <c r="K191" s="68">
        <f t="shared" ref="K191" si="129">+I191*J191</f>
        <v>5.5545000000000009</v>
      </c>
      <c r="L191" s="68">
        <f>+J191+K191</f>
        <v>116.64450000000001</v>
      </c>
      <c r="M191" s="6">
        <v>189</v>
      </c>
      <c r="N191" s="6">
        <v>189</v>
      </c>
      <c r="O191" s="58">
        <v>0.05</v>
      </c>
      <c r="P191" s="51">
        <f t="shared" si="118"/>
        <v>179.99999999999991</v>
      </c>
      <c r="Q191" s="51">
        <f t="shared" si="119"/>
        <v>8.9999999999999964</v>
      </c>
      <c r="R191" s="51">
        <f t="shared" ref="R191" si="130">+P191+Q191</f>
        <v>188.99999999999991</v>
      </c>
      <c r="S191" s="10" t="s">
        <v>219</v>
      </c>
      <c r="T191" s="10" t="s">
        <v>7</v>
      </c>
      <c r="U191" s="11" t="s">
        <v>170</v>
      </c>
      <c r="V191" s="11" t="s">
        <v>286</v>
      </c>
      <c r="W191" s="40" t="s">
        <v>287</v>
      </c>
      <c r="X191" s="41" t="s">
        <v>220</v>
      </c>
      <c r="Z191" s="46"/>
      <c r="AA191" s="46"/>
      <c r="AB191" s="46"/>
    </row>
    <row r="192" spans="1:28" s="32" customFormat="1" ht="18" customHeight="1" x14ac:dyDescent="0.4">
      <c r="A192" s="8">
        <v>195</v>
      </c>
      <c r="B192" s="53" t="s">
        <v>179</v>
      </c>
      <c r="C192" s="5"/>
      <c r="D192" s="9"/>
      <c r="E192" s="88"/>
      <c r="F192" s="88">
        <v>1</v>
      </c>
      <c r="G192" s="29">
        <v>711.43</v>
      </c>
      <c r="H192" s="60">
        <v>0.52</v>
      </c>
      <c r="I192" s="65">
        <v>0.05</v>
      </c>
      <c r="J192" s="68">
        <v>325.23</v>
      </c>
      <c r="K192" s="68">
        <f t="shared" ref="K192:K193" si="131">+I192*J192</f>
        <v>16.261500000000002</v>
      </c>
      <c r="L192" s="68">
        <f>+J192+K192</f>
        <v>341.49150000000003</v>
      </c>
      <c r="M192" s="6">
        <v>376</v>
      </c>
      <c r="N192" s="6">
        <v>376</v>
      </c>
      <c r="O192" s="58">
        <v>0.05</v>
      </c>
      <c r="P192" s="51">
        <f t="shared" si="118"/>
        <v>358.09523809523796</v>
      </c>
      <c r="Q192" s="51">
        <f t="shared" si="119"/>
        <v>17.904761904761898</v>
      </c>
      <c r="R192" s="51">
        <f t="shared" ref="R192:R193" si="132">+P192+Q192</f>
        <v>375.99999999999989</v>
      </c>
      <c r="S192" s="10" t="s">
        <v>209</v>
      </c>
      <c r="T192" s="10" t="s">
        <v>7</v>
      </c>
      <c r="U192" s="11" t="s">
        <v>170</v>
      </c>
      <c r="V192" s="11" t="s">
        <v>286</v>
      </c>
      <c r="W192" s="40" t="s">
        <v>287</v>
      </c>
      <c r="X192" s="41" t="s">
        <v>210</v>
      </c>
      <c r="Z192" s="46"/>
      <c r="AA192" s="46"/>
      <c r="AB192" s="46"/>
    </row>
    <row r="193" spans="1:28" s="32" customFormat="1" ht="18" customHeight="1" x14ac:dyDescent="0.4">
      <c r="A193" s="8">
        <v>196</v>
      </c>
      <c r="B193" s="53" t="s">
        <v>176</v>
      </c>
      <c r="C193" s="5"/>
      <c r="D193" s="9"/>
      <c r="E193" s="88"/>
      <c r="F193" s="88">
        <v>1</v>
      </c>
      <c r="G193" s="29">
        <v>243</v>
      </c>
      <c r="H193" s="60">
        <v>0.52</v>
      </c>
      <c r="I193" s="65">
        <v>0.05</v>
      </c>
      <c r="J193" s="68">
        <v>111.09</v>
      </c>
      <c r="K193" s="68">
        <f t="shared" si="131"/>
        <v>5.5545000000000009</v>
      </c>
      <c r="L193" s="68">
        <f>+J193+K193</f>
        <v>116.64450000000001</v>
      </c>
      <c r="M193" s="6">
        <v>187</v>
      </c>
      <c r="N193" s="6">
        <v>187</v>
      </c>
      <c r="O193" s="58">
        <v>0.05</v>
      </c>
      <c r="P193" s="51">
        <f t="shared" si="118"/>
        <v>178.09523809523802</v>
      </c>
      <c r="Q193" s="51">
        <f t="shared" si="119"/>
        <v>8.9047619047619015</v>
      </c>
      <c r="R193" s="51">
        <f t="shared" si="132"/>
        <v>186.99999999999991</v>
      </c>
      <c r="S193" s="10" t="s">
        <v>205</v>
      </c>
      <c r="T193" s="10" t="s">
        <v>7</v>
      </c>
      <c r="U193" s="11" t="s">
        <v>170</v>
      </c>
      <c r="V193" s="11" t="s">
        <v>286</v>
      </c>
      <c r="W193" s="40" t="s">
        <v>287</v>
      </c>
      <c r="X193" s="41" t="s">
        <v>206</v>
      </c>
      <c r="Z193" s="46"/>
      <c r="AA193" s="46"/>
      <c r="AB193" s="46"/>
    </row>
    <row r="194" spans="1:28" s="32" customFormat="1" ht="18" customHeight="1" x14ac:dyDescent="0.4">
      <c r="A194" s="8">
        <v>197</v>
      </c>
      <c r="B194" s="53" t="s">
        <v>179</v>
      </c>
      <c r="C194" s="5"/>
      <c r="D194" s="9"/>
      <c r="E194" s="88"/>
      <c r="F194" s="88">
        <v>1</v>
      </c>
      <c r="G194" s="29">
        <v>711.43</v>
      </c>
      <c r="H194" s="60">
        <v>0.52</v>
      </c>
      <c r="I194" s="65">
        <v>0.05</v>
      </c>
      <c r="J194" s="68">
        <v>325.23</v>
      </c>
      <c r="K194" s="68">
        <f t="shared" ref="K194:K196" si="133">+I194*J194</f>
        <v>16.261500000000002</v>
      </c>
      <c r="L194" s="68">
        <f>+J194+K194</f>
        <v>341.49150000000003</v>
      </c>
      <c r="M194" s="6">
        <v>449</v>
      </c>
      <c r="N194" s="6">
        <v>449</v>
      </c>
      <c r="O194" s="58">
        <v>0.05</v>
      </c>
      <c r="P194" s="51">
        <f t="shared" si="118"/>
        <v>427.61904761904742</v>
      </c>
      <c r="Q194" s="51">
        <f t="shared" si="119"/>
        <v>21.380952380952372</v>
      </c>
      <c r="R194" s="51">
        <f t="shared" ref="R194:R196" si="134">+P194+Q194</f>
        <v>448.99999999999977</v>
      </c>
      <c r="S194" s="10" t="s">
        <v>200</v>
      </c>
      <c r="T194" s="10" t="s">
        <v>7</v>
      </c>
      <c r="U194" s="11" t="s">
        <v>170</v>
      </c>
      <c r="V194" s="11" t="s">
        <v>286</v>
      </c>
      <c r="W194" s="40" t="s">
        <v>287</v>
      </c>
      <c r="X194" s="41" t="s">
        <v>199</v>
      </c>
      <c r="Z194" s="46"/>
      <c r="AA194" s="46"/>
      <c r="AB194" s="46"/>
    </row>
    <row r="195" spans="1:28" s="32" customFormat="1" ht="18" customHeight="1" x14ac:dyDescent="0.4">
      <c r="A195" s="8">
        <v>198</v>
      </c>
      <c r="B195" s="53" t="s">
        <v>36</v>
      </c>
      <c r="C195" s="5" t="s">
        <v>35</v>
      </c>
      <c r="D195" s="9" t="s">
        <v>20</v>
      </c>
      <c r="E195" s="88" t="s">
        <v>116</v>
      </c>
      <c r="F195" s="88">
        <v>1</v>
      </c>
      <c r="G195" s="29">
        <v>5000</v>
      </c>
      <c r="H195" s="60">
        <v>0.52</v>
      </c>
      <c r="I195" s="65">
        <v>0.05</v>
      </c>
      <c r="J195" s="68">
        <v>2285.71</v>
      </c>
      <c r="K195" s="68">
        <f t="shared" si="133"/>
        <v>114.28550000000001</v>
      </c>
      <c r="L195" s="68">
        <f t="shared" ref="L195" si="135">+J195+K195</f>
        <v>2399.9955</v>
      </c>
      <c r="M195" s="29">
        <v>3000</v>
      </c>
      <c r="N195" s="29">
        <v>3000</v>
      </c>
      <c r="O195" s="58">
        <v>0.05</v>
      </c>
      <c r="P195" s="51">
        <f t="shared" si="118"/>
        <v>2857.142857142856</v>
      </c>
      <c r="Q195" s="51">
        <f t="shared" si="119"/>
        <v>142.8571428571428</v>
      </c>
      <c r="R195" s="51">
        <f t="shared" si="134"/>
        <v>2999.9999999999986</v>
      </c>
      <c r="S195" s="10" t="s">
        <v>271</v>
      </c>
      <c r="T195" s="10" t="s">
        <v>7</v>
      </c>
      <c r="U195" s="11" t="s">
        <v>142</v>
      </c>
      <c r="V195" s="11" t="s">
        <v>142</v>
      </c>
      <c r="W195" s="41" t="s">
        <v>294</v>
      </c>
      <c r="X195" s="41" t="s">
        <v>272</v>
      </c>
      <c r="Z195" s="46"/>
      <c r="AA195" s="46"/>
      <c r="AB195" s="46"/>
    </row>
    <row r="196" spans="1:28" s="32" customFormat="1" ht="18" customHeight="1" x14ac:dyDescent="0.4">
      <c r="A196" s="8">
        <v>199</v>
      </c>
      <c r="B196" s="13" t="s">
        <v>36</v>
      </c>
      <c r="C196" s="13" t="s">
        <v>33</v>
      </c>
      <c r="D196" s="9" t="s">
        <v>20</v>
      </c>
      <c r="E196" s="88" t="s">
        <v>116</v>
      </c>
      <c r="F196" s="88">
        <v>1</v>
      </c>
      <c r="G196" s="29">
        <v>9000</v>
      </c>
      <c r="H196" s="60">
        <v>0.52</v>
      </c>
      <c r="I196" s="65">
        <v>0.18</v>
      </c>
      <c r="J196" s="68">
        <v>3661.02</v>
      </c>
      <c r="K196" s="68">
        <f t="shared" si="133"/>
        <v>658.98360000000002</v>
      </c>
      <c r="L196" s="68">
        <f>+J196+K196</f>
        <v>4320.0036</v>
      </c>
      <c r="M196" s="6">
        <v>5400</v>
      </c>
      <c r="N196" s="6">
        <v>5400</v>
      </c>
      <c r="O196" s="58">
        <v>0.18</v>
      </c>
      <c r="P196" s="51">
        <f t="shared" ref="P196" si="136">+N196*0.847457627118644</f>
        <v>4576.2711864406774</v>
      </c>
      <c r="Q196" s="51">
        <f>+P196*18%</f>
        <v>823.72881355932191</v>
      </c>
      <c r="R196" s="51">
        <f t="shared" si="134"/>
        <v>5399.9999999999991</v>
      </c>
      <c r="S196" s="9" t="s">
        <v>180</v>
      </c>
      <c r="T196" s="10" t="s">
        <v>7</v>
      </c>
      <c r="U196" s="11" t="s">
        <v>142</v>
      </c>
      <c r="V196" s="11" t="s">
        <v>142</v>
      </c>
      <c r="W196" s="41" t="s">
        <v>294</v>
      </c>
      <c r="X196" s="92" t="s">
        <v>190</v>
      </c>
      <c r="Z196" s="46"/>
      <c r="AA196" s="46"/>
      <c r="AB196" s="46"/>
    </row>
    <row r="197" spans="1:28" s="32" customFormat="1" ht="18" customHeight="1" x14ac:dyDescent="0.4">
      <c r="A197" s="8">
        <v>200</v>
      </c>
      <c r="B197" s="13" t="s">
        <v>36</v>
      </c>
      <c r="C197" s="13" t="s">
        <v>33</v>
      </c>
      <c r="D197" s="9" t="s">
        <v>16</v>
      </c>
      <c r="E197" s="88" t="s">
        <v>175</v>
      </c>
      <c r="F197" s="88">
        <v>1</v>
      </c>
      <c r="G197" s="29">
        <v>9000</v>
      </c>
      <c r="H197" s="60">
        <v>0.52</v>
      </c>
      <c r="I197" s="65">
        <v>0.18</v>
      </c>
      <c r="J197" s="68">
        <v>3661.02</v>
      </c>
      <c r="K197" s="68">
        <f t="shared" ref="K197" si="137">+I197*J197</f>
        <v>658.98360000000002</v>
      </c>
      <c r="L197" s="68">
        <f>+J197+K197</f>
        <v>4320.0036</v>
      </c>
      <c r="M197" s="6">
        <v>4206.6000000000004</v>
      </c>
      <c r="N197" s="6">
        <v>4206.6000000000004</v>
      </c>
      <c r="O197" s="58">
        <v>0.18</v>
      </c>
      <c r="P197" s="51">
        <f t="shared" ref="P197" si="138">+N197*0.847457627118644</f>
        <v>3564.9152542372881</v>
      </c>
      <c r="Q197" s="51">
        <f>+P197*18%</f>
        <v>641.68474576271183</v>
      </c>
      <c r="R197" s="51">
        <f t="shared" ref="R197:R198" si="139">+P197+Q197</f>
        <v>4206.6000000000004</v>
      </c>
      <c r="S197" s="10"/>
      <c r="T197" s="10" t="s">
        <v>7</v>
      </c>
      <c r="U197" s="11" t="s">
        <v>142</v>
      </c>
      <c r="V197" s="11" t="s">
        <v>142</v>
      </c>
      <c r="W197" s="41" t="s">
        <v>294</v>
      </c>
      <c r="X197" s="92" t="s">
        <v>189</v>
      </c>
      <c r="Y197" s="32" t="s">
        <v>174</v>
      </c>
      <c r="Z197" s="46"/>
      <c r="AA197" s="46"/>
      <c r="AB197" s="46"/>
    </row>
    <row r="198" spans="1:28" s="32" customFormat="1" ht="18" customHeight="1" x14ac:dyDescent="0.4">
      <c r="A198" s="8">
        <v>201</v>
      </c>
      <c r="B198" s="53" t="s">
        <v>96</v>
      </c>
      <c r="C198" s="5" t="s">
        <v>165</v>
      </c>
      <c r="D198" s="9" t="s">
        <v>16</v>
      </c>
      <c r="E198" s="88" t="s">
        <v>175</v>
      </c>
      <c r="F198" s="88">
        <v>1</v>
      </c>
      <c r="G198" s="29">
        <v>2799</v>
      </c>
      <c r="H198" s="60">
        <v>0.52</v>
      </c>
      <c r="I198" s="65">
        <v>0.05</v>
      </c>
      <c r="J198" s="68">
        <v>1279.54</v>
      </c>
      <c r="K198" s="68">
        <f>+I198*J198</f>
        <v>63.977000000000004</v>
      </c>
      <c r="L198" s="68">
        <f>+J198+K198</f>
        <v>1343.5170000000001</v>
      </c>
      <c r="M198" s="6">
        <v>1959.3</v>
      </c>
      <c r="N198" s="6">
        <v>1959</v>
      </c>
      <c r="O198" s="58">
        <v>0.05</v>
      </c>
      <c r="P198" s="51">
        <f t="shared" ref="P198" si="140">+N198*0.952380952380952</f>
        <v>1865.7142857142849</v>
      </c>
      <c r="Q198" s="51">
        <f t="shared" ref="Q198" si="141">+P198*5%</f>
        <v>93.285714285714249</v>
      </c>
      <c r="R198" s="51">
        <f t="shared" si="139"/>
        <v>1958.9999999999991</v>
      </c>
      <c r="S198" s="10" t="s">
        <v>182</v>
      </c>
      <c r="T198" s="10" t="s">
        <v>10</v>
      </c>
      <c r="U198" s="11" t="s">
        <v>182</v>
      </c>
      <c r="V198" s="36" t="s">
        <v>182</v>
      </c>
      <c r="W198" s="41" t="s">
        <v>312</v>
      </c>
      <c r="X198" s="41" t="s">
        <v>321</v>
      </c>
      <c r="Z198" s="46"/>
      <c r="AA198" s="46"/>
      <c r="AB198" s="46"/>
    </row>
    <row r="199" spans="1:28" s="32" customFormat="1" ht="18" customHeight="1" x14ac:dyDescent="0.4">
      <c r="A199" s="8">
        <v>202</v>
      </c>
      <c r="B199" s="53" t="s">
        <v>93</v>
      </c>
      <c r="C199" s="5" t="s">
        <v>94</v>
      </c>
      <c r="D199" s="9" t="s">
        <v>16</v>
      </c>
      <c r="E199" s="88" t="s">
        <v>175</v>
      </c>
      <c r="F199" s="88">
        <v>1</v>
      </c>
      <c r="G199" s="29">
        <v>5200</v>
      </c>
      <c r="H199" s="60">
        <v>0.52</v>
      </c>
      <c r="I199" s="65">
        <v>0.05</v>
      </c>
      <c r="J199" s="68">
        <v>2377.14</v>
      </c>
      <c r="K199" s="68">
        <f>+J199*I199</f>
        <v>118.857</v>
      </c>
      <c r="L199" s="68">
        <f t="shared" ref="L199:L201" si="142">+J199+K199</f>
        <v>2495.9969999999998</v>
      </c>
      <c r="M199" s="6">
        <v>3120</v>
      </c>
      <c r="N199" s="6">
        <v>3120</v>
      </c>
      <c r="O199" s="58">
        <v>0.18</v>
      </c>
      <c r="P199" s="51">
        <f>+N199*0.847457627118644</f>
        <v>2644.0677966101694</v>
      </c>
      <c r="Q199" s="51">
        <f>+P199*18%</f>
        <v>475.93220338983048</v>
      </c>
      <c r="R199" s="51">
        <f>+P199+Q199</f>
        <v>3120</v>
      </c>
      <c r="S199" s="10" t="s">
        <v>184</v>
      </c>
      <c r="T199" s="10" t="s">
        <v>10</v>
      </c>
      <c r="U199" s="11" t="s">
        <v>184</v>
      </c>
      <c r="V199" s="36" t="s">
        <v>184</v>
      </c>
      <c r="W199" s="41" t="s">
        <v>250</v>
      </c>
      <c r="X199" s="41"/>
      <c r="Z199" s="106"/>
      <c r="AA199" s="106"/>
      <c r="AB199" s="106"/>
    </row>
    <row r="200" spans="1:28" s="32" customFormat="1" ht="18" customHeight="1" x14ac:dyDescent="0.4">
      <c r="A200" s="27">
        <v>203</v>
      </c>
      <c r="B200" s="5" t="s">
        <v>30</v>
      </c>
      <c r="C200" s="5" t="s">
        <v>31</v>
      </c>
      <c r="D200" s="28" t="s">
        <v>20</v>
      </c>
      <c r="E200" s="135" t="s">
        <v>175</v>
      </c>
      <c r="F200" s="135">
        <v>1</v>
      </c>
      <c r="G200" s="29">
        <v>1967</v>
      </c>
      <c r="H200" s="136">
        <v>0.52</v>
      </c>
      <c r="I200" s="137">
        <v>0.05</v>
      </c>
      <c r="J200" s="70">
        <v>899.2</v>
      </c>
      <c r="K200" s="70">
        <f t="shared" ref="K200" si="143">+I200*J200</f>
        <v>44.960000000000008</v>
      </c>
      <c r="L200" s="70">
        <f t="shared" si="142"/>
        <v>944.16000000000008</v>
      </c>
      <c r="M200" s="29">
        <v>1377</v>
      </c>
      <c r="N200" s="29">
        <v>1377</v>
      </c>
      <c r="O200" s="71">
        <v>0.05</v>
      </c>
      <c r="P200" s="52">
        <f t="shared" ref="P200:P201" si="144">+N200*0.952380952380952</f>
        <v>1311.4285714285709</v>
      </c>
      <c r="Q200" s="52">
        <f t="shared" ref="Q200:Q201" si="145">+P200*5%</f>
        <v>65.571428571428541</v>
      </c>
      <c r="R200" s="52">
        <f t="shared" ref="R200:R201" si="146">+P200+Q200</f>
        <v>1376.9999999999993</v>
      </c>
      <c r="S200" s="28" t="s">
        <v>185</v>
      </c>
      <c r="T200" s="30" t="s">
        <v>7</v>
      </c>
      <c r="U200" s="31" t="s">
        <v>185</v>
      </c>
      <c r="V200" s="38" t="s">
        <v>185</v>
      </c>
      <c r="W200" s="41" t="s">
        <v>293</v>
      </c>
      <c r="X200" s="92" t="s">
        <v>188</v>
      </c>
      <c r="Z200" s="46"/>
      <c r="AA200" s="46"/>
      <c r="AB200" s="46"/>
    </row>
    <row r="201" spans="1:28" s="32" customFormat="1" ht="18" customHeight="1" x14ac:dyDescent="0.4">
      <c r="A201" s="185">
        <v>204</v>
      </c>
      <c r="B201" s="183" t="s">
        <v>30</v>
      </c>
      <c r="C201" s="181" t="s">
        <v>29</v>
      </c>
      <c r="D201" s="186" t="s">
        <v>41</v>
      </c>
      <c r="E201" s="87" t="s">
        <v>107</v>
      </c>
      <c r="F201" s="87">
        <v>1</v>
      </c>
      <c r="G201" s="29">
        <v>2207</v>
      </c>
      <c r="H201" s="60">
        <v>0.5</v>
      </c>
      <c r="I201" s="65">
        <v>0.05</v>
      </c>
      <c r="J201" s="66">
        <v>1050.95</v>
      </c>
      <c r="K201" s="67">
        <f>+J201*I201</f>
        <v>52.547500000000007</v>
      </c>
      <c r="L201" s="67">
        <f t="shared" si="142"/>
        <v>1103.4974999999999</v>
      </c>
      <c r="M201" s="29">
        <v>1542.02</v>
      </c>
      <c r="N201" s="29">
        <v>1542.02</v>
      </c>
      <c r="O201" s="58">
        <v>0.05</v>
      </c>
      <c r="P201" s="51">
        <f t="shared" si="144"/>
        <v>1468.5904761904756</v>
      </c>
      <c r="Q201" s="51">
        <f t="shared" si="145"/>
        <v>73.429523809523786</v>
      </c>
      <c r="R201" s="51">
        <f t="shared" si="146"/>
        <v>1542.0199999999993</v>
      </c>
      <c r="S201" s="10" t="s">
        <v>25</v>
      </c>
      <c r="T201" s="10" t="s">
        <v>7</v>
      </c>
      <c r="U201" s="11" t="s">
        <v>25</v>
      </c>
      <c r="V201" s="36" t="s">
        <v>25</v>
      </c>
      <c r="W201" s="40" t="s">
        <v>264</v>
      </c>
      <c r="X201" s="41" t="s">
        <v>198</v>
      </c>
      <c r="Z201" s="46"/>
      <c r="AA201" s="46"/>
      <c r="AB201" s="46"/>
    </row>
    <row r="202" spans="1:28" s="32" customFormat="1" ht="18" customHeight="1" x14ac:dyDescent="0.4">
      <c r="A202" s="33">
        <v>205</v>
      </c>
      <c r="B202" s="5" t="s">
        <v>186</v>
      </c>
      <c r="C202" s="5"/>
      <c r="D202" s="9"/>
      <c r="E202" s="88" t="s">
        <v>116</v>
      </c>
      <c r="F202" s="88">
        <v>1</v>
      </c>
      <c r="G202" s="107">
        <v>1593</v>
      </c>
      <c r="H202" s="60">
        <v>0.52</v>
      </c>
      <c r="I202" s="65">
        <v>0.18</v>
      </c>
      <c r="J202" s="68">
        <v>648</v>
      </c>
      <c r="K202" s="68">
        <f t="shared" ref="K202:K203" si="147">+I202*J202</f>
        <v>116.64</v>
      </c>
      <c r="L202" s="68">
        <f>+J202+K202</f>
        <v>764.64</v>
      </c>
      <c r="M202" s="6">
        <v>1035.45</v>
      </c>
      <c r="N202" s="6">
        <v>1035.45</v>
      </c>
      <c r="O202" s="58">
        <v>0.18</v>
      </c>
      <c r="P202" s="51">
        <f>+N202*0.847457627118644</f>
        <v>877.5</v>
      </c>
      <c r="Q202" s="51">
        <f>+P202*18%</f>
        <v>157.94999999999999</v>
      </c>
      <c r="R202" s="51">
        <f>+P202+Q202</f>
        <v>1035.45</v>
      </c>
      <c r="S202" s="10" t="s">
        <v>146</v>
      </c>
      <c r="T202" s="10" t="s">
        <v>10</v>
      </c>
      <c r="U202" s="11" t="s">
        <v>146</v>
      </c>
      <c r="V202" s="36" t="s">
        <v>146</v>
      </c>
      <c r="W202" s="41" t="s">
        <v>312</v>
      </c>
      <c r="X202" s="41" t="s">
        <v>319</v>
      </c>
      <c r="Z202" s="46"/>
      <c r="AA202" s="46"/>
      <c r="AB202" s="46"/>
    </row>
    <row r="203" spans="1:28" s="32" customFormat="1" ht="18" customHeight="1" x14ac:dyDescent="0.4">
      <c r="A203" s="8">
        <v>206</v>
      </c>
      <c r="B203" s="53" t="s">
        <v>176</v>
      </c>
      <c r="C203" s="5"/>
      <c r="D203" s="9"/>
      <c r="E203" s="88" t="s">
        <v>116</v>
      </c>
      <c r="F203" s="88">
        <v>2</v>
      </c>
      <c r="G203" s="29">
        <v>243</v>
      </c>
      <c r="H203" s="60">
        <v>0.52</v>
      </c>
      <c r="I203" s="65">
        <v>0.05</v>
      </c>
      <c r="J203" s="68">
        <v>162</v>
      </c>
      <c r="K203" s="68">
        <f t="shared" si="147"/>
        <v>8.1</v>
      </c>
      <c r="L203" s="68">
        <f>+J203+K203</f>
        <v>170.1</v>
      </c>
      <c r="M203" s="6">
        <v>324</v>
      </c>
      <c r="N203" s="6">
        <v>324</v>
      </c>
      <c r="O203" s="58">
        <v>0.05</v>
      </c>
      <c r="P203" s="51">
        <f t="shared" ref="P203" si="148">+N203*0.952380952380952</f>
        <v>308.57142857142844</v>
      </c>
      <c r="Q203" s="51">
        <f t="shared" ref="Q203" si="149">+P203*5%</f>
        <v>15.428571428571423</v>
      </c>
      <c r="R203" s="51">
        <f t="shared" ref="R203:R204" si="150">+P203+Q203</f>
        <v>323.99999999999989</v>
      </c>
      <c r="S203" s="10" t="s">
        <v>146</v>
      </c>
      <c r="T203" s="10" t="s">
        <v>10</v>
      </c>
      <c r="U203" s="11" t="s">
        <v>146</v>
      </c>
      <c r="V203" s="36" t="s">
        <v>146</v>
      </c>
      <c r="W203" s="41" t="s">
        <v>312</v>
      </c>
      <c r="X203" s="41" t="s">
        <v>319</v>
      </c>
      <c r="Z203" s="46"/>
      <c r="AA203" s="46"/>
      <c r="AB203" s="46"/>
    </row>
    <row r="204" spans="1:28" s="32" customFormat="1" ht="18" customHeight="1" x14ac:dyDescent="0.4">
      <c r="A204" s="138">
        <v>207</v>
      </c>
      <c r="B204" s="5" t="s">
        <v>30</v>
      </c>
      <c r="C204" s="5" t="s">
        <v>29</v>
      </c>
      <c r="D204" s="28" t="s">
        <v>20</v>
      </c>
      <c r="E204" s="135" t="s">
        <v>116</v>
      </c>
      <c r="F204" s="135">
        <v>1</v>
      </c>
      <c r="G204" s="29">
        <v>2207</v>
      </c>
      <c r="H204" s="136">
        <v>0.52</v>
      </c>
      <c r="I204" s="137">
        <v>0.05</v>
      </c>
      <c r="J204" s="139">
        <v>1008.91</v>
      </c>
      <c r="K204" s="140">
        <f>+J204*I204</f>
        <v>50.445500000000003</v>
      </c>
      <c r="L204" s="140">
        <f t="shared" ref="L204" si="151">+J204+K204</f>
        <v>1059.3554999999999</v>
      </c>
      <c r="M204" s="29">
        <v>1540</v>
      </c>
      <c r="N204" s="29">
        <v>1540</v>
      </c>
      <c r="O204" s="71">
        <v>0.05</v>
      </c>
      <c r="P204" s="52">
        <f>+N204*0.952380952380952</f>
        <v>1466.6666666666661</v>
      </c>
      <c r="Q204" s="52">
        <f>+P204*5%</f>
        <v>73.3333333333333</v>
      </c>
      <c r="R204" s="52">
        <f t="shared" si="150"/>
        <v>1539.9999999999993</v>
      </c>
      <c r="S204" s="28" t="s">
        <v>187</v>
      </c>
      <c r="T204" s="30" t="s">
        <v>7</v>
      </c>
      <c r="U204" s="31" t="s">
        <v>187</v>
      </c>
      <c r="V204" s="31" t="s">
        <v>187</v>
      </c>
      <c r="W204" s="41" t="s">
        <v>293</v>
      </c>
      <c r="X204" s="92" t="s">
        <v>194</v>
      </c>
      <c r="Z204" s="46"/>
      <c r="AA204" s="46"/>
      <c r="AB204" s="46"/>
    </row>
    <row r="205" spans="1:28" s="32" customFormat="1" ht="18" customHeight="1" x14ac:dyDescent="0.4">
      <c r="A205" s="33">
        <v>208</v>
      </c>
      <c r="B205" s="53" t="s">
        <v>30</v>
      </c>
      <c r="C205" s="14" t="s">
        <v>34</v>
      </c>
      <c r="D205" s="9" t="s">
        <v>41</v>
      </c>
      <c r="E205" s="88" t="s">
        <v>175</v>
      </c>
      <c r="F205" s="88">
        <v>1</v>
      </c>
      <c r="G205" s="29">
        <v>4500</v>
      </c>
      <c r="H205" s="60">
        <v>0.52</v>
      </c>
      <c r="I205" s="65">
        <v>0.05</v>
      </c>
      <c r="J205" s="68">
        <v>2057.1419999999998</v>
      </c>
      <c r="K205" s="68">
        <f>+I205*J205</f>
        <v>102.8571</v>
      </c>
      <c r="L205" s="68">
        <f>+J205+K205</f>
        <v>2159.9991</v>
      </c>
      <c r="M205" s="6">
        <v>2700</v>
      </c>
      <c r="N205" s="6">
        <v>2700</v>
      </c>
      <c r="O205" s="58">
        <v>0.05</v>
      </c>
      <c r="P205" s="51">
        <v>2571.4299999999998</v>
      </c>
      <c r="Q205" s="51">
        <f>+P205*5%</f>
        <v>128.57149999999999</v>
      </c>
      <c r="R205" s="51">
        <f>+P205+Q205</f>
        <v>2700.0014999999999</v>
      </c>
      <c r="S205" s="10" t="s">
        <v>113</v>
      </c>
      <c r="T205" s="10" t="s">
        <v>10</v>
      </c>
      <c r="U205" s="11" t="s">
        <v>140</v>
      </c>
      <c r="V205" s="11" t="s">
        <v>140</v>
      </c>
      <c r="W205" s="41" t="s">
        <v>352</v>
      </c>
      <c r="X205" s="41"/>
      <c r="Z205" s="46"/>
      <c r="AA205" s="46"/>
      <c r="AB205" s="46"/>
    </row>
    <row r="206" spans="1:28" s="32" customFormat="1" ht="18" customHeight="1" x14ac:dyDescent="0.4">
      <c r="A206" s="33">
        <v>209</v>
      </c>
      <c r="B206" s="53" t="s">
        <v>30</v>
      </c>
      <c r="C206" s="14" t="s">
        <v>34</v>
      </c>
      <c r="D206" s="9" t="s">
        <v>20</v>
      </c>
      <c r="E206" s="88" t="s">
        <v>175</v>
      </c>
      <c r="F206" s="88">
        <v>1</v>
      </c>
      <c r="G206" s="29">
        <v>4500</v>
      </c>
      <c r="H206" s="60">
        <v>0.52</v>
      </c>
      <c r="I206" s="65">
        <v>0.05</v>
      </c>
      <c r="J206" s="68">
        <v>2057.1419999999998</v>
      </c>
      <c r="K206" s="68">
        <f t="shared" ref="K206:K208" si="152">+I206*J206</f>
        <v>102.8571</v>
      </c>
      <c r="L206" s="68">
        <f t="shared" ref="L206:L208" si="153">+J206+K206</f>
        <v>2159.9991</v>
      </c>
      <c r="M206" s="6">
        <v>2700</v>
      </c>
      <c r="N206" s="6">
        <v>2700</v>
      </c>
      <c r="O206" s="58">
        <v>0.05</v>
      </c>
      <c r="P206" s="51">
        <v>2571.4299999999998</v>
      </c>
      <c r="Q206" s="51">
        <f t="shared" ref="Q206:Q207" si="154">+P206*5%</f>
        <v>128.57149999999999</v>
      </c>
      <c r="R206" s="51">
        <f t="shared" ref="R206:R207" si="155">+P206+Q206</f>
        <v>2700.0014999999999</v>
      </c>
      <c r="S206" s="10" t="s">
        <v>113</v>
      </c>
      <c r="T206" s="10" t="s">
        <v>10</v>
      </c>
      <c r="U206" s="11" t="s">
        <v>140</v>
      </c>
      <c r="V206" s="11" t="s">
        <v>140</v>
      </c>
      <c r="W206" s="41" t="s">
        <v>352</v>
      </c>
      <c r="X206" s="41"/>
      <c r="Z206" s="46"/>
      <c r="AA206" s="46"/>
      <c r="AB206" s="46"/>
    </row>
    <row r="207" spans="1:28" s="32" customFormat="1" ht="18" customHeight="1" x14ac:dyDescent="0.4">
      <c r="A207" s="33">
        <v>210</v>
      </c>
      <c r="B207" s="53" t="s">
        <v>30</v>
      </c>
      <c r="C207" s="14" t="s">
        <v>34</v>
      </c>
      <c r="D207" s="9" t="s">
        <v>16</v>
      </c>
      <c r="E207" s="88" t="s">
        <v>175</v>
      </c>
      <c r="F207" s="88">
        <v>1</v>
      </c>
      <c r="G207" s="29">
        <v>4500</v>
      </c>
      <c r="H207" s="60">
        <v>0.52</v>
      </c>
      <c r="I207" s="65">
        <v>0.05</v>
      </c>
      <c r="J207" s="68">
        <v>2057.1419999999998</v>
      </c>
      <c r="K207" s="68">
        <f t="shared" si="152"/>
        <v>102.8571</v>
      </c>
      <c r="L207" s="68">
        <f t="shared" si="153"/>
        <v>2159.9991</v>
      </c>
      <c r="M207" s="6">
        <v>2700</v>
      </c>
      <c r="N207" s="6">
        <v>2700</v>
      </c>
      <c r="O207" s="58">
        <v>0.05</v>
      </c>
      <c r="P207" s="51">
        <v>2571.4299999999998</v>
      </c>
      <c r="Q207" s="51">
        <f t="shared" si="154"/>
        <v>128.57149999999999</v>
      </c>
      <c r="R207" s="51">
        <f t="shared" si="155"/>
        <v>2700.0014999999999</v>
      </c>
      <c r="S207" s="10" t="s">
        <v>113</v>
      </c>
      <c r="T207" s="10" t="s">
        <v>10</v>
      </c>
      <c r="U207" s="11" t="s">
        <v>140</v>
      </c>
      <c r="V207" s="11" t="s">
        <v>140</v>
      </c>
      <c r="W207" s="41" t="s">
        <v>352</v>
      </c>
      <c r="X207" s="41"/>
      <c r="Z207" s="46"/>
      <c r="AA207" s="46"/>
      <c r="AB207" s="46"/>
    </row>
    <row r="208" spans="1:28" s="32" customFormat="1" ht="18" customHeight="1" x14ac:dyDescent="0.4">
      <c r="A208" s="185">
        <v>211</v>
      </c>
      <c r="B208" s="183" t="s">
        <v>30</v>
      </c>
      <c r="C208" s="181" t="s">
        <v>31</v>
      </c>
      <c r="D208" s="186" t="s">
        <v>20</v>
      </c>
      <c r="E208" s="88" t="s">
        <v>116</v>
      </c>
      <c r="F208" s="88">
        <v>1</v>
      </c>
      <c r="G208" s="29">
        <v>1967</v>
      </c>
      <c r="H208" s="60">
        <v>0.52</v>
      </c>
      <c r="I208" s="65">
        <v>0.05</v>
      </c>
      <c r="J208" s="68">
        <v>936.67</v>
      </c>
      <c r="K208" s="68">
        <f t="shared" si="152"/>
        <v>46.833500000000001</v>
      </c>
      <c r="L208" s="68">
        <f t="shared" si="153"/>
        <v>983.50349999999992</v>
      </c>
      <c r="M208" s="29">
        <v>1377</v>
      </c>
      <c r="N208" s="29">
        <v>1377</v>
      </c>
      <c r="O208" s="58">
        <v>0.05</v>
      </c>
      <c r="P208" s="51">
        <f t="shared" ref="P208" si="156">+N208*0.952380952380952</f>
        <v>1311.4285714285709</v>
      </c>
      <c r="Q208" s="51">
        <f t="shared" ref="Q208" si="157">+P208*5%</f>
        <v>65.571428571428541</v>
      </c>
      <c r="R208" s="51">
        <f t="shared" ref="R208" si="158">+P208+Q208</f>
        <v>1376.9999999999993</v>
      </c>
      <c r="S208" s="10" t="s">
        <v>25</v>
      </c>
      <c r="T208" s="10" t="s">
        <v>7</v>
      </c>
      <c r="U208" s="11" t="s">
        <v>25</v>
      </c>
      <c r="V208" s="36" t="s">
        <v>25</v>
      </c>
      <c r="W208" s="40" t="s">
        <v>264</v>
      </c>
      <c r="X208" s="41" t="s">
        <v>360</v>
      </c>
      <c r="Z208" s="46"/>
      <c r="AA208" s="46"/>
      <c r="AB208" s="46"/>
    </row>
    <row r="209" spans="1:28" s="32" customFormat="1" ht="18" customHeight="1" x14ac:dyDescent="0.4">
      <c r="A209" s="33">
        <v>212</v>
      </c>
      <c r="B209" s="13" t="s">
        <v>36</v>
      </c>
      <c r="C209" s="5" t="s">
        <v>90</v>
      </c>
      <c r="D209" s="9" t="s">
        <v>9</v>
      </c>
      <c r="E209" s="88" t="s">
        <v>116</v>
      </c>
      <c r="F209" s="88">
        <v>1</v>
      </c>
      <c r="G209" s="29">
        <v>8010</v>
      </c>
      <c r="H209" s="60">
        <v>0.6</v>
      </c>
      <c r="I209" s="65">
        <v>0.18</v>
      </c>
      <c r="J209" s="68">
        <v>2918.9</v>
      </c>
      <c r="K209" s="68">
        <f>+I209*J209</f>
        <v>525.40200000000004</v>
      </c>
      <c r="L209" s="68">
        <f>+J209+K209</f>
        <v>3444.3020000000001</v>
      </c>
      <c r="M209" s="6">
        <v>5207</v>
      </c>
      <c r="N209" s="6">
        <v>5207</v>
      </c>
      <c r="O209" s="58">
        <v>0.18</v>
      </c>
      <c r="P209" s="51">
        <f>+N209*0.847457627118644</f>
        <v>4412.7118644067796</v>
      </c>
      <c r="Q209" s="51">
        <f>+P209*18%</f>
        <v>794.28813559322032</v>
      </c>
      <c r="R209" s="51">
        <f>+P209+Q209</f>
        <v>5207</v>
      </c>
      <c r="S209" s="10" t="s">
        <v>233</v>
      </c>
      <c r="T209" s="10" t="s">
        <v>7</v>
      </c>
      <c r="U209" s="11" t="s">
        <v>234</v>
      </c>
      <c r="V209" s="36" t="s">
        <v>234</v>
      </c>
      <c r="W209" s="41" t="s">
        <v>293</v>
      </c>
      <c r="X209" s="41" t="s">
        <v>242</v>
      </c>
      <c r="Z209" s="46"/>
      <c r="AA209" s="46"/>
      <c r="AB209" s="46"/>
    </row>
    <row r="210" spans="1:28" s="131" customFormat="1" ht="18" customHeight="1" x14ac:dyDescent="0.4">
      <c r="A210" s="116">
        <v>213</v>
      </c>
      <c r="B210" s="117" t="s">
        <v>30</v>
      </c>
      <c r="C210" s="118" t="s">
        <v>32</v>
      </c>
      <c r="D210" s="119" t="s">
        <v>4</v>
      </c>
      <c r="E210" s="120" t="s">
        <v>116</v>
      </c>
      <c r="F210" s="120">
        <v>1</v>
      </c>
      <c r="G210" s="121">
        <v>1967</v>
      </c>
      <c r="H210" s="122">
        <v>0.52</v>
      </c>
      <c r="I210" s="123">
        <v>0.05</v>
      </c>
      <c r="J210" s="124">
        <v>899.2</v>
      </c>
      <c r="K210" s="124">
        <f t="shared" ref="K210" si="159">+I210*J210</f>
        <v>44.960000000000008</v>
      </c>
      <c r="L210" s="124">
        <f t="shared" ref="L210:L211" si="160">+J210+K210</f>
        <v>944.16000000000008</v>
      </c>
      <c r="M210" s="121">
        <v>1180</v>
      </c>
      <c r="N210" s="121">
        <v>1180</v>
      </c>
      <c r="O210" s="126">
        <v>0.05</v>
      </c>
      <c r="P210" s="127">
        <f t="shared" ref="P210" si="161">+N210*0.952380952380952</f>
        <v>1123.8095238095234</v>
      </c>
      <c r="Q210" s="127">
        <f t="shared" ref="Q210" si="162">+P210*5%</f>
        <v>56.190476190476176</v>
      </c>
      <c r="R210" s="127">
        <f t="shared" ref="R210" si="163">+P210+Q210</f>
        <v>1179.9999999999995</v>
      </c>
      <c r="S210" s="119" t="s">
        <v>237</v>
      </c>
      <c r="T210" s="128" t="s">
        <v>7</v>
      </c>
      <c r="U210" s="129" t="s">
        <v>235</v>
      </c>
      <c r="V210" s="129" t="s">
        <v>236</v>
      </c>
      <c r="W210" s="130" t="s">
        <v>266</v>
      </c>
      <c r="X210" s="130" t="s">
        <v>238</v>
      </c>
      <c r="Z210" s="132"/>
      <c r="AA210" s="132"/>
      <c r="AB210" s="132"/>
    </row>
    <row r="211" spans="1:28" s="32" customFormat="1" ht="18" customHeight="1" x14ac:dyDescent="0.4">
      <c r="A211" s="8">
        <v>214</v>
      </c>
      <c r="B211" s="53" t="s">
        <v>93</v>
      </c>
      <c r="C211" s="5" t="s">
        <v>94</v>
      </c>
      <c r="D211" s="9" t="s">
        <v>9</v>
      </c>
      <c r="E211" s="88" t="s">
        <v>175</v>
      </c>
      <c r="F211" s="88">
        <v>1</v>
      </c>
      <c r="G211" s="29">
        <v>5200</v>
      </c>
      <c r="H211" s="60">
        <v>0.52</v>
      </c>
      <c r="I211" s="65">
        <v>0.05</v>
      </c>
      <c r="J211" s="68">
        <v>2377.14</v>
      </c>
      <c r="K211" s="68">
        <f>+J211*I211</f>
        <v>118.857</v>
      </c>
      <c r="L211" s="68">
        <f t="shared" si="160"/>
        <v>2495.9969999999998</v>
      </c>
      <c r="M211" s="6">
        <v>3120</v>
      </c>
      <c r="N211" s="6">
        <v>3120</v>
      </c>
      <c r="O211" s="58">
        <v>0.18</v>
      </c>
      <c r="P211" s="51">
        <f>+N211*0.847457627118644</f>
        <v>2644.0677966101694</v>
      </c>
      <c r="Q211" s="51">
        <f>+P211*18%</f>
        <v>475.93220338983048</v>
      </c>
      <c r="R211" s="51">
        <f>+P211+Q211</f>
        <v>3120</v>
      </c>
      <c r="S211" s="10" t="s">
        <v>184</v>
      </c>
      <c r="T211" s="10" t="s">
        <v>10</v>
      </c>
      <c r="U211" s="11" t="s">
        <v>184</v>
      </c>
      <c r="V211" s="36" t="s">
        <v>184</v>
      </c>
      <c r="W211" s="41" t="s">
        <v>250</v>
      </c>
      <c r="X211" s="41"/>
      <c r="Z211" s="106"/>
      <c r="AA211" s="106"/>
      <c r="AB211" s="106"/>
    </row>
    <row r="212" spans="1:28" s="32" customFormat="1" ht="18" customHeight="1" x14ac:dyDescent="0.4">
      <c r="A212" s="8">
        <v>215</v>
      </c>
      <c r="B212" s="53" t="s">
        <v>30</v>
      </c>
      <c r="C212" s="5" t="s">
        <v>32</v>
      </c>
      <c r="D212" s="9" t="s">
        <v>41</v>
      </c>
      <c r="E212" s="88" t="s">
        <v>116</v>
      </c>
      <c r="F212" s="88">
        <v>1</v>
      </c>
      <c r="G212" s="29">
        <v>1967</v>
      </c>
      <c r="H212" s="60">
        <v>0.52</v>
      </c>
      <c r="I212" s="65">
        <v>0.05</v>
      </c>
      <c r="J212" s="68">
        <v>899.2</v>
      </c>
      <c r="K212" s="68">
        <f t="shared" ref="K212:K215" si="164">+I212*J212</f>
        <v>44.960000000000008</v>
      </c>
      <c r="L212" s="68">
        <f t="shared" ref="L212" si="165">+J212+K212</f>
        <v>944.16000000000008</v>
      </c>
      <c r="M212" s="29">
        <v>1278.55</v>
      </c>
      <c r="N212" s="29">
        <v>1278.55</v>
      </c>
      <c r="O212" s="58">
        <v>0.05</v>
      </c>
      <c r="P212" s="51">
        <f t="shared" ref="P212" si="166">+N212*0.952380952380952</f>
        <v>1217.6666666666661</v>
      </c>
      <c r="Q212" s="51">
        <f t="shared" ref="Q212" si="167">+P212*5%</f>
        <v>60.883333333333304</v>
      </c>
      <c r="R212" s="51">
        <f t="shared" ref="R212" si="168">+P212+Q212</f>
        <v>1278.5499999999993</v>
      </c>
      <c r="S212" s="9" t="s">
        <v>239</v>
      </c>
      <c r="T212" s="10" t="s">
        <v>10</v>
      </c>
      <c r="U212" s="11" t="s">
        <v>13</v>
      </c>
      <c r="V212" s="11" t="s">
        <v>13</v>
      </c>
      <c r="W212" s="41"/>
      <c r="X212" s="41"/>
      <c r="Z212" s="46"/>
      <c r="AA212" s="46"/>
      <c r="AB212" s="46"/>
    </row>
    <row r="213" spans="1:28" s="32" customFormat="1" ht="18" customHeight="1" x14ac:dyDescent="0.4">
      <c r="A213" s="33">
        <v>216</v>
      </c>
      <c r="B213" s="13" t="s">
        <v>36</v>
      </c>
      <c r="C213" s="13" t="s">
        <v>33</v>
      </c>
      <c r="D213" s="9" t="s">
        <v>20</v>
      </c>
      <c r="E213" s="88" t="s">
        <v>116</v>
      </c>
      <c r="F213" s="88">
        <v>1</v>
      </c>
      <c r="G213" s="29">
        <v>9000</v>
      </c>
      <c r="H213" s="60">
        <v>0.52</v>
      </c>
      <c r="I213" s="65">
        <v>0.18</v>
      </c>
      <c r="J213" s="68">
        <v>3661.02</v>
      </c>
      <c r="K213" s="68">
        <f t="shared" si="164"/>
        <v>658.98360000000002</v>
      </c>
      <c r="L213" s="68">
        <f>+J213+K213</f>
        <v>4320.0036</v>
      </c>
      <c r="M213" s="6">
        <v>4500</v>
      </c>
      <c r="N213" s="6">
        <v>4500</v>
      </c>
      <c r="O213" s="58">
        <v>0.18</v>
      </c>
      <c r="P213" s="51">
        <f>+N213*0.847457627118644</f>
        <v>3813.5593220338983</v>
      </c>
      <c r="Q213" s="51">
        <f>+P213*18%</f>
        <v>686.4406779661017</v>
      </c>
      <c r="R213" s="51">
        <f>+P213+Q213</f>
        <v>4500</v>
      </c>
      <c r="S213" s="10" t="s">
        <v>240</v>
      </c>
      <c r="T213" s="10" t="s">
        <v>7</v>
      </c>
      <c r="U213" s="11" t="s">
        <v>240</v>
      </c>
      <c r="V213" s="36" t="s">
        <v>240</v>
      </c>
      <c r="W213" s="41" t="s">
        <v>248</v>
      </c>
      <c r="X213" s="41" t="s">
        <v>241</v>
      </c>
      <c r="Z213" s="46"/>
      <c r="AA213" s="46"/>
      <c r="AB213" s="46"/>
    </row>
    <row r="214" spans="1:28" s="32" customFormat="1" ht="18" customHeight="1" x14ac:dyDescent="0.4">
      <c r="A214" s="33">
        <v>217</v>
      </c>
      <c r="B214" s="53" t="s">
        <v>30</v>
      </c>
      <c r="C214" s="5" t="s">
        <v>31</v>
      </c>
      <c r="D214" s="9" t="s">
        <v>41</v>
      </c>
      <c r="E214" s="88" t="s">
        <v>175</v>
      </c>
      <c r="F214" s="88">
        <v>1</v>
      </c>
      <c r="G214" s="29">
        <v>1967</v>
      </c>
      <c r="H214" s="60">
        <v>0.52</v>
      </c>
      <c r="I214" s="65">
        <v>0.05</v>
      </c>
      <c r="J214" s="68">
        <v>899.2</v>
      </c>
      <c r="K214" s="68">
        <f t="shared" si="164"/>
        <v>44.960000000000008</v>
      </c>
      <c r="L214" s="68">
        <f t="shared" ref="L214" si="169">+J214+K214</f>
        <v>944.16000000000008</v>
      </c>
      <c r="M214" s="6">
        <v>1278.55</v>
      </c>
      <c r="N214" s="6">
        <v>1278.55</v>
      </c>
      <c r="O214" s="58">
        <v>0.05</v>
      </c>
      <c r="P214" s="51">
        <f t="shared" ref="P214" si="170">+N214*0.952380952380952</f>
        <v>1217.6666666666661</v>
      </c>
      <c r="Q214" s="51">
        <f t="shared" ref="Q214" si="171">+P214*5%</f>
        <v>60.883333333333304</v>
      </c>
      <c r="R214" s="51">
        <f t="shared" ref="R214" si="172">+P214+Q214</f>
        <v>1278.5499999999993</v>
      </c>
      <c r="S214" s="10" t="s">
        <v>251</v>
      </c>
      <c r="T214" s="10" t="s">
        <v>7</v>
      </c>
      <c r="U214" s="11" t="s">
        <v>252</v>
      </c>
      <c r="V214" s="11" t="s">
        <v>252</v>
      </c>
      <c r="W214" s="41" t="s">
        <v>293</v>
      </c>
      <c r="X214" s="41" t="s">
        <v>253</v>
      </c>
      <c r="Z214" s="46"/>
      <c r="AA214" s="46"/>
      <c r="AB214" s="46"/>
    </row>
    <row r="215" spans="1:28" s="32" customFormat="1" ht="18" customHeight="1" x14ac:dyDescent="0.4">
      <c r="A215" s="33">
        <v>218</v>
      </c>
      <c r="B215" s="53" t="s">
        <v>176</v>
      </c>
      <c r="C215" s="5"/>
      <c r="D215" s="9"/>
      <c r="E215" s="88" t="s">
        <v>116</v>
      </c>
      <c r="F215" s="88">
        <v>1</v>
      </c>
      <c r="G215" s="29">
        <v>243</v>
      </c>
      <c r="H215" s="60">
        <v>0.52</v>
      </c>
      <c r="I215" s="65">
        <v>0.05</v>
      </c>
      <c r="J215" s="68">
        <v>162</v>
      </c>
      <c r="K215" s="68">
        <f t="shared" si="164"/>
        <v>8.1</v>
      </c>
      <c r="L215" s="68">
        <f>+J215+K215</f>
        <v>170.1</v>
      </c>
      <c r="M215" s="6">
        <v>157.94999999999999</v>
      </c>
      <c r="N215" s="6">
        <v>157.94999999999999</v>
      </c>
      <c r="O215" s="58">
        <v>0.05</v>
      </c>
      <c r="P215" s="51">
        <f t="shared" ref="P215" si="173">+N215*0.952380952380952</f>
        <v>150.42857142857136</v>
      </c>
      <c r="Q215" s="51">
        <f t="shared" ref="Q215" si="174">+P215*5%</f>
        <v>7.5214285714285687</v>
      </c>
      <c r="R215" s="51">
        <f t="shared" ref="R215" si="175">+P215+Q215</f>
        <v>157.94999999999993</v>
      </c>
      <c r="S215" s="10" t="s">
        <v>251</v>
      </c>
      <c r="T215" s="10" t="s">
        <v>7</v>
      </c>
      <c r="U215" s="11" t="s">
        <v>252</v>
      </c>
      <c r="V215" s="11" t="s">
        <v>252</v>
      </c>
      <c r="W215" s="41" t="s">
        <v>293</v>
      </c>
      <c r="X215" s="41" t="s">
        <v>253</v>
      </c>
      <c r="Z215" s="46"/>
      <c r="AA215" s="46"/>
      <c r="AB215" s="46"/>
    </row>
    <row r="216" spans="1:28" s="131" customFormat="1" ht="18" customHeight="1" x14ac:dyDescent="0.4">
      <c r="A216" s="133">
        <v>219</v>
      </c>
      <c r="B216" s="117" t="s">
        <v>30</v>
      </c>
      <c r="C216" s="118" t="s">
        <v>31</v>
      </c>
      <c r="D216" s="119" t="s">
        <v>20</v>
      </c>
      <c r="E216" s="120" t="s">
        <v>175</v>
      </c>
      <c r="F216" s="120">
        <v>1</v>
      </c>
      <c r="G216" s="121">
        <v>1967</v>
      </c>
      <c r="H216" s="122">
        <v>0.52</v>
      </c>
      <c r="I216" s="123">
        <v>0.05</v>
      </c>
      <c r="J216" s="124">
        <v>899.2</v>
      </c>
      <c r="K216" s="124">
        <f t="shared" ref="K216:K219" si="176">+I216*J216</f>
        <v>44.960000000000008</v>
      </c>
      <c r="L216" s="124">
        <f t="shared" ref="L216" si="177">+J216+K216</f>
        <v>944.16000000000008</v>
      </c>
      <c r="M216" s="125">
        <v>1376.9</v>
      </c>
      <c r="N216" s="125">
        <v>1376.9</v>
      </c>
      <c r="O216" s="126">
        <v>0.05</v>
      </c>
      <c r="P216" s="127">
        <f t="shared" ref="P216:P219" si="178">+N216*0.952380952380952</f>
        <v>1311.3333333333328</v>
      </c>
      <c r="Q216" s="127">
        <f t="shared" ref="Q216:Q219" si="179">+P216*5%</f>
        <v>65.566666666666649</v>
      </c>
      <c r="R216" s="127">
        <f t="shared" ref="R216:R219" si="180">+P216+Q216</f>
        <v>1376.8999999999994</v>
      </c>
      <c r="S216" s="128" t="s">
        <v>254</v>
      </c>
      <c r="T216" s="128" t="s">
        <v>7</v>
      </c>
      <c r="U216" s="129" t="s">
        <v>255</v>
      </c>
      <c r="V216" s="134" t="s">
        <v>255</v>
      </c>
      <c r="W216" s="130" t="s">
        <v>266</v>
      </c>
      <c r="X216" s="130" t="s">
        <v>256</v>
      </c>
      <c r="Z216" s="132"/>
      <c r="AA216" s="132"/>
      <c r="AB216" s="132"/>
    </row>
    <row r="217" spans="1:28" s="131" customFormat="1" ht="18" customHeight="1" x14ac:dyDescent="0.4">
      <c r="A217" s="133">
        <v>220</v>
      </c>
      <c r="B217" s="117" t="s">
        <v>176</v>
      </c>
      <c r="C217" s="118"/>
      <c r="D217" s="119"/>
      <c r="E217" s="120" t="s">
        <v>116</v>
      </c>
      <c r="F217" s="120">
        <v>2</v>
      </c>
      <c r="G217" s="121">
        <v>243</v>
      </c>
      <c r="H217" s="122">
        <v>0.52</v>
      </c>
      <c r="I217" s="123">
        <v>0.05</v>
      </c>
      <c r="J217" s="124">
        <v>162</v>
      </c>
      <c r="K217" s="124">
        <f t="shared" si="176"/>
        <v>8.1</v>
      </c>
      <c r="L217" s="124">
        <f>+J217+K217</f>
        <v>170.1</v>
      </c>
      <c r="M217" s="121">
        <v>340.2</v>
      </c>
      <c r="N217" s="121">
        <v>340.2</v>
      </c>
      <c r="O217" s="126">
        <v>0.05</v>
      </c>
      <c r="P217" s="127">
        <f t="shared" si="178"/>
        <v>323.99999999999989</v>
      </c>
      <c r="Q217" s="127">
        <f t="shared" si="179"/>
        <v>16.199999999999996</v>
      </c>
      <c r="R217" s="127">
        <f t="shared" si="180"/>
        <v>340.19999999999987</v>
      </c>
      <c r="S217" s="128" t="s">
        <v>254</v>
      </c>
      <c r="T217" s="128" t="s">
        <v>7</v>
      </c>
      <c r="U217" s="129" t="s">
        <v>255</v>
      </c>
      <c r="V217" s="134" t="s">
        <v>255</v>
      </c>
      <c r="W217" s="130" t="s">
        <v>266</v>
      </c>
      <c r="X217" s="130" t="s">
        <v>256</v>
      </c>
      <c r="Z217" s="132"/>
      <c r="AA217" s="132"/>
      <c r="AB217" s="132"/>
    </row>
    <row r="218" spans="1:28" s="32" customFormat="1" ht="18" customHeight="1" x14ac:dyDescent="0.4">
      <c r="A218" s="33">
        <v>221</v>
      </c>
      <c r="B218" s="53" t="s">
        <v>30</v>
      </c>
      <c r="C218" s="5" t="s">
        <v>31</v>
      </c>
      <c r="D218" s="9" t="s">
        <v>41</v>
      </c>
      <c r="E218" s="88" t="s">
        <v>175</v>
      </c>
      <c r="F218" s="88">
        <v>1</v>
      </c>
      <c r="G218" s="29">
        <v>1967</v>
      </c>
      <c r="H218" s="60">
        <v>0.52</v>
      </c>
      <c r="I218" s="65">
        <v>0.05</v>
      </c>
      <c r="J218" s="68">
        <v>899.2</v>
      </c>
      <c r="K218" s="68">
        <f t="shared" si="176"/>
        <v>44.960000000000008</v>
      </c>
      <c r="L218" s="68">
        <f t="shared" ref="L218" si="181">+J218+K218</f>
        <v>944.16000000000008</v>
      </c>
      <c r="M218" s="6">
        <v>1380</v>
      </c>
      <c r="N218" s="6">
        <v>1380</v>
      </c>
      <c r="O218" s="58">
        <v>0.05</v>
      </c>
      <c r="P218" s="51">
        <f t="shared" si="178"/>
        <v>1314.2857142857138</v>
      </c>
      <c r="Q218" s="51">
        <f t="shared" si="179"/>
        <v>65.714285714285694</v>
      </c>
      <c r="R218" s="51">
        <f t="shared" si="180"/>
        <v>1379.9999999999995</v>
      </c>
      <c r="S218" s="10" t="s">
        <v>257</v>
      </c>
      <c r="T218" s="10" t="s">
        <v>7</v>
      </c>
      <c r="U218" s="11" t="s">
        <v>273</v>
      </c>
      <c r="V218" s="11" t="s">
        <v>273</v>
      </c>
      <c r="W218" s="41" t="s">
        <v>293</v>
      </c>
      <c r="X218" s="41" t="s">
        <v>274</v>
      </c>
      <c r="Z218" s="46"/>
      <c r="AA218" s="46"/>
      <c r="AB218" s="46"/>
    </row>
    <row r="219" spans="1:28" s="32" customFormat="1" ht="18" customHeight="1" x14ac:dyDescent="0.4">
      <c r="A219" s="33">
        <v>222</v>
      </c>
      <c r="B219" s="53" t="s">
        <v>176</v>
      </c>
      <c r="C219" s="5"/>
      <c r="D219" s="9"/>
      <c r="E219" s="88" t="s">
        <v>116</v>
      </c>
      <c r="F219" s="88">
        <v>1</v>
      </c>
      <c r="G219" s="29">
        <v>243</v>
      </c>
      <c r="H219" s="60">
        <v>0.52</v>
      </c>
      <c r="I219" s="65">
        <v>0.05</v>
      </c>
      <c r="J219" s="68">
        <v>162</v>
      </c>
      <c r="K219" s="68">
        <f t="shared" si="176"/>
        <v>8.1</v>
      </c>
      <c r="L219" s="68">
        <f>+J219+K219</f>
        <v>170.1</v>
      </c>
      <c r="M219" s="6">
        <v>121.5</v>
      </c>
      <c r="N219" s="6">
        <v>243</v>
      </c>
      <c r="O219" s="58">
        <v>0.05</v>
      </c>
      <c r="P219" s="51">
        <f t="shared" si="178"/>
        <v>231.42857142857133</v>
      </c>
      <c r="Q219" s="51">
        <f t="shared" si="179"/>
        <v>11.571428571428568</v>
      </c>
      <c r="R219" s="51">
        <f t="shared" si="180"/>
        <v>242.99999999999989</v>
      </c>
      <c r="S219" s="10" t="s">
        <v>114</v>
      </c>
      <c r="T219" s="10" t="s">
        <v>10</v>
      </c>
      <c r="U219" s="11" t="s">
        <v>114</v>
      </c>
      <c r="V219" s="11" t="s">
        <v>114</v>
      </c>
      <c r="W219" s="41"/>
      <c r="X219" s="41"/>
      <c r="Z219" s="46"/>
      <c r="AA219" s="46"/>
      <c r="AB219" s="46"/>
    </row>
    <row r="220" spans="1:28" s="32" customFormat="1" ht="18" customHeight="1" x14ac:dyDescent="0.4">
      <c r="A220" s="33">
        <v>223</v>
      </c>
      <c r="B220" s="53" t="s">
        <v>96</v>
      </c>
      <c r="C220" s="5" t="s">
        <v>258</v>
      </c>
      <c r="D220" s="9" t="s">
        <v>16</v>
      </c>
      <c r="E220" s="88" t="s">
        <v>175</v>
      </c>
      <c r="F220" s="88">
        <v>1</v>
      </c>
      <c r="G220" s="29">
        <v>2999</v>
      </c>
      <c r="H220" s="60">
        <v>0.52</v>
      </c>
      <c r="I220" s="65">
        <v>0.05</v>
      </c>
      <c r="J220" s="68">
        <v>1370.97</v>
      </c>
      <c r="K220" s="68">
        <f>+I220*J220</f>
        <v>68.548500000000004</v>
      </c>
      <c r="L220" s="68">
        <f>+J220+K220</f>
        <v>1439.5185000000001</v>
      </c>
      <c r="M220" s="6">
        <v>1439.52</v>
      </c>
      <c r="N220" s="6">
        <v>1439.52</v>
      </c>
      <c r="O220" s="58">
        <v>0.05</v>
      </c>
      <c r="P220" s="51">
        <f t="shared" ref="P220:P221" si="182">+N220*0.952380952380952</f>
        <v>1370.9714285714281</v>
      </c>
      <c r="Q220" s="51">
        <f t="shared" ref="Q220:Q221" si="183">+P220*5%</f>
        <v>68.548571428571407</v>
      </c>
      <c r="R220" s="51">
        <f t="shared" ref="R220:R221" si="184">+P220+Q220</f>
        <v>1439.5199999999995</v>
      </c>
      <c r="S220" s="10" t="s">
        <v>114</v>
      </c>
      <c r="T220" s="10" t="s">
        <v>10</v>
      </c>
      <c r="U220" s="11" t="s">
        <v>114</v>
      </c>
      <c r="V220" s="11" t="s">
        <v>114</v>
      </c>
      <c r="W220" s="41"/>
      <c r="X220" s="41"/>
      <c r="Z220" s="46"/>
      <c r="AA220" s="46"/>
      <c r="AB220" s="46"/>
    </row>
    <row r="221" spans="1:28" s="32" customFormat="1" ht="18" customHeight="1" x14ac:dyDescent="0.4">
      <c r="A221" s="33">
        <v>224</v>
      </c>
      <c r="B221" s="53" t="s">
        <v>96</v>
      </c>
      <c r="C221" s="5" t="s">
        <v>258</v>
      </c>
      <c r="D221" s="9" t="s">
        <v>12</v>
      </c>
      <c r="E221" s="88" t="s">
        <v>175</v>
      </c>
      <c r="F221" s="88">
        <v>1</v>
      </c>
      <c r="G221" s="29">
        <v>2999</v>
      </c>
      <c r="H221" s="60">
        <v>0.52</v>
      </c>
      <c r="I221" s="65">
        <v>0.05</v>
      </c>
      <c r="J221" s="68">
        <v>1370.97</v>
      </c>
      <c r="K221" s="68">
        <f>+I221*J221</f>
        <v>68.548500000000004</v>
      </c>
      <c r="L221" s="68">
        <f>+J221+K221</f>
        <v>1439.5185000000001</v>
      </c>
      <c r="M221" s="6">
        <v>1439.52</v>
      </c>
      <c r="N221" s="6">
        <v>1439.52</v>
      </c>
      <c r="O221" s="58">
        <v>0.05</v>
      </c>
      <c r="P221" s="51">
        <f t="shared" si="182"/>
        <v>1370.9714285714281</v>
      </c>
      <c r="Q221" s="51">
        <f t="shared" si="183"/>
        <v>68.548571428571407</v>
      </c>
      <c r="R221" s="51">
        <f t="shared" si="184"/>
        <v>1439.5199999999995</v>
      </c>
      <c r="S221" s="10" t="s">
        <v>13</v>
      </c>
      <c r="T221" s="10" t="s">
        <v>10</v>
      </c>
      <c r="U221" s="11" t="s">
        <v>13</v>
      </c>
      <c r="V221" s="11" t="s">
        <v>13</v>
      </c>
      <c r="W221" s="41"/>
      <c r="X221" s="41"/>
      <c r="Z221" s="46"/>
      <c r="AA221" s="46"/>
      <c r="AB221" s="46"/>
    </row>
    <row r="222" spans="1:28" s="32" customFormat="1" ht="18" customHeight="1" x14ac:dyDescent="0.4">
      <c r="A222" s="33">
        <v>225</v>
      </c>
      <c r="B222" s="53" t="s">
        <v>96</v>
      </c>
      <c r="C222" s="5" t="s">
        <v>258</v>
      </c>
      <c r="D222" s="9" t="s">
        <v>18</v>
      </c>
      <c r="E222" s="88" t="s">
        <v>175</v>
      </c>
      <c r="F222" s="88">
        <v>1</v>
      </c>
      <c r="G222" s="29">
        <v>2999</v>
      </c>
      <c r="H222" s="60">
        <v>0.52</v>
      </c>
      <c r="I222" s="65">
        <v>0.05</v>
      </c>
      <c r="J222" s="68">
        <v>1370.97</v>
      </c>
      <c r="K222" s="68">
        <f>+I222*J222</f>
        <v>68.548500000000004</v>
      </c>
      <c r="L222" s="68">
        <f>+J222+K222</f>
        <v>1439.5185000000001</v>
      </c>
      <c r="M222" s="6">
        <v>1799.4</v>
      </c>
      <c r="N222" s="6">
        <v>1799.4</v>
      </c>
      <c r="O222" s="58">
        <v>0.05</v>
      </c>
      <c r="P222" s="51">
        <f t="shared" ref="P222:P226" si="185">+N222*0.952380952380952</f>
        <v>1713.7142857142851</v>
      </c>
      <c r="Q222" s="51">
        <f t="shared" ref="Q222:Q226" si="186">+P222*5%</f>
        <v>85.685714285714255</v>
      </c>
      <c r="R222" s="51">
        <f t="shared" ref="R222:R226" si="187">+P222+Q222</f>
        <v>1799.3999999999994</v>
      </c>
      <c r="S222" s="10" t="s">
        <v>270</v>
      </c>
      <c r="T222" s="10" t="s">
        <v>10</v>
      </c>
      <c r="U222" s="11" t="s">
        <v>270</v>
      </c>
      <c r="V222" s="11" t="s">
        <v>270</v>
      </c>
      <c r="W222" s="41"/>
      <c r="X222" s="41"/>
      <c r="Z222" s="46"/>
      <c r="AA222" s="46"/>
      <c r="AB222" s="46"/>
    </row>
    <row r="223" spans="1:28" s="32" customFormat="1" ht="18" customHeight="1" x14ac:dyDescent="0.4">
      <c r="A223" s="33">
        <v>226</v>
      </c>
      <c r="B223" s="53" t="s">
        <v>96</v>
      </c>
      <c r="C223" s="5" t="s">
        <v>258</v>
      </c>
      <c r="D223" s="9" t="s">
        <v>12</v>
      </c>
      <c r="E223" s="88" t="s">
        <v>175</v>
      </c>
      <c r="F223" s="88">
        <v>1</v>
      </c>
      <c r="G223" s="29">
        <v>2999</v>
      </c>
      <c r="H223" s="60">
        <v>0.52</v>
      </c>
      <c r="I223" s="65">
        <v>0.05</v>
      </c>
      <c r="J223" s="68">
        <v>1370.97</v>
      </c>
      <c r="K223" s="68">
        <f>+I223*J223</f>
        <v>68.548500000000004</v>
      </c>
      <c r="L223" s="68">
        <f>+J223+K223</f>
        <v>1439.5185000000001</v>
      </c>
      <c r="M223" s="6">
        <v>1799.4</v>
      </c>
      <c r="N223" s="6">
        <v>1799.4</v>
      </c>
      <c r="O223" s="58">
        <v>0.05</v>
      </c>
      <c r="P223" s="51">
        <f t="shared" si="185"/>
        <v>1713.7142857142851</v>
      </c>
      <c r="Q223" s="51">
        <f t="shared" si="186"/>
        <v>85.685714285714255</v>
      </c>
      <c r="R223" s="51">
        <f t="shared" si="187"/>
        <v>1799.3999999999994</v>
      </c>
      <c r="S223" s="10" t="s">
        <v>270</v>
      </c>
      <c r="T223" s="10" t="s">
        <v>10</v>
      </c>
      <c r="U223" s="11" t="s">
        <v>270</v>
      </c>
      <c r="V223" s="11" t="s">
        <v>270</v>
      </c>
      <c r="W223" s="41"/>
      <c r="X223" s="41"/>
      <c r="Z223" s="46"/>
      <c r="AA223" s="46"/>
      <c r="AB223" s="46"/>
    </row>
    <row r="224" spans="1:28" s="32" customFormat="1" ht="18" customHeight="1" x14ac:dyDescent="0.4">
      <c r="A224" s="33">
        <v>227</v>
      </c>
      <c r="B224" s="53" t="s">
        <v>30</v>
      </c>
      <c r="C224" s="5" t="s">
        <v>31</v>
      </c>
      <c r="D224" s="9" t="s">
        <v>45</v>
      </c>
      <c r="E224" s="88" t="s">
        <v>175</v>
      </c>
      <c r="F224" s="88">
        <v>1</v>
      </c>
      <c r="G224" s="29">
        <v>1967</v>
      </c>
      <c r="H224" s="60">
        <v>0.52</v>
      </c>
      <c r="I224" s="65">
        <v>0.05</v>
      </c>
      <c r="J224" s="68">
        <v>899.2</v>
      </c>
      <c r="K224" s="68">
        <f t="shared" ref="K224:K225" si="188">+I224*J224</f>
        <v>44.960000000000008</v>
      </c>
      <c r="L224" s="68">
        <f t="shared" ref="L224:L225" si="189">+J224+K224</f>
        <v>944.16000000000008</v>
      </c>
      <c r="M224" s="6">
        <v>1180</v>
      </c>
      <c r="N224" s="6">
        <v>1180</v>
      </c>
      <c r="O224" s="58">
        <v>0.05</v>
      </c>
      <c r="P224" s="51">
        <f t="shared" si="185"/>
        <v>1123.8095238095234</v>
      </c>
      <c r="Q224" s="51">
        <f t="shared" si="186"/>
        <v>56.190476190476176</v>
      </c>
      <c r="R224" s="51">
        <f t="shared" si="187"/>
        <v>1179.9999999999995</v>
      </c>
      <c r="S224" s="10" t="s">
        <v>271</v>
      </c>
      <c r="T224" s="10" t="s">
        <v>10</v>
      </c>
      <c r="U224" s="11" t="s">
        <v>142</v>
      </c>
      <c r="V224" s="11" t="s">
        <v>142</v>
      </c>
      <c r="W224" s="41" t="s">
        <v>311</v>
      </c>
      <c r="X224" s="41" t="s">
        <v>310</v>
      </c>
      <c r="Z224" s="46"/>
      <c r="AA224" s="46"/>
      <c r="AB224" s="46"/>
    </row>
    <row r="225" spans="1:28" s="32" customFormat="1" ht="18" customHeight="1" x14ac:dyDescent="0.4">
      <c r="A225" s="33">
        <v>228</v>
      </c>
      <c r="B225" s="53" t="s">
        <v>30</v>
      </c>
      <c r="C225" s="5" t="s">
        <v>31</v>
      </c>
      <c r="D225" s="9" t="s">
        <v>41</v>
      </c>
      <c r="E225" s="88" t="s">
        <v>175</v>
      </c>
      <c r="F225" s="88">
        <v>1</v>
      </c>
      <c r="G225" s="29">
        <v>1967</v>
      </c>
      <c r="H225" s="60">
        <v>0.52</v>
      </c>
      <c r="I225" s="65">
        <v>0.05</v>
      </c>
      <c r="J225" s="68">
        <v>899.2</v>
      </c>
      <c r="K225" s="68">
        <f t="shared" si="188"/>
        <v>44.960000000000008</v>
      </c>
      <c r="L225" s="68">
        <f t="shared" si="189"/>
        <v>944.16000000000008</v>
      </c>
      <c r="M225" s="6">
        <v>1180</v>
      </c>
      <c r="N225" s="6">
        <v>1180</v>
      </c>
      <c r="O225" s="58">
        <v>0.05</v>
      </c>
      <c r="P225" s="51">
        <f t="shared" si="185"/>
        <v>1123.8095238095234</v>
      </c>
      <c r="Q225" s="51">
        <f t="shared" si="186"/>
        <v>56.190476190476176</v>
      </c>
      <c r="R225" s="51">
        <f t="shared" si="187"/>
        <v>1179.9999999999995</v>
      </c>
      <c r="S225" s="10" t="s">
        <v>271</v>
      </c>
      <c r="T225" s="10" t="s">
        <v>10</v>
      </c>
      <c r="U225" s="11" t="s">
        <v>142</v>
      </c>
      <c r="V225" s="11" t="s">
        <v>142</v>
      </c>
      <c r="W225" s="41" t="s">
        <v>311</v>
      </c>
      <c r="X225" s="41" t="s">
        <v>310</v>
      </c>
      <c r="Z225" s="46"/>
      <c r="AA225" s="46"/>
      <c r="AB225" s="46"/>
    </row>
    <row r="226" spans="1:28" s="32" customFormat="1" ht="18" customHeight="1" x14ac:dyDescent="0.4">
      <c r="A226" s="8">
        <v>229</v>
      </c>
      <c r="B226" s="53" t="s">
        <v>96</v>
      </c>
      <c r="C226" s="5" t="s">
        <v>165</v>
      </c>
      <c r="D226" s="9" t="s">
        <v>41</v>
      </c>
      <c r="E226" s="88" t="s">
        <v>175</v>
      </c>
      <c r="F226" s="88">
        <v>1</v>
      </c>
      <c r="G226" s="29">
        <v>2799</v>
      </c>
      <c r="H226" s="60">
        <v>0.52</v>
      </c>
      <c r="I226" s="65">
        <v>0.05</v>
      </c>
      <c r="J226" s="68">
        <v>1279.54</v>
      </c>
      <c r="K226" s="68">
        <f t="shared" ref="K226:K233" si="190">+I226*J226</f>
        <v>63.977000000000004</v>
      </c>
      <c r="L226" s="68">
        <f t="shared" ref="L226:L231" si="191">+J226+K226</f>
        <v>1343.5170000000001</v>
      </c>
      <c r="M226" s="6">
        <v>839.7</v>
      </c>
      <c r="N226" s="6">
        <v>839.7</v>
      </c>
      <c r="O226" s="58">
        <v>0.05</v>
      </c>
      <c r="P226" s="51">
        <f t="shared" si="185"/>
        <v>799.71428571428544</v>
      </c>
      <c r="Q226" s="51">
        <f t="shared" si="186"/>
        <v>39.985714285714273</v>
      </c>
      <c r="R226" s="51">
        <f t="shared" si="187"/>
        <v>839.6999999999997</v>
      </c>
      <c r="S226" s="10" t="s">
        <v>276</v>
      </c>
      <c r="T226" s="10" t="s">
        <v>10</v>
      </c>
      <c r="U226" s="11" t="s">
        <v>276</v>
      </c>
      <c r="V226" s="11" t="s">
        <v>276</v>
      </c>
      <c r="W226" s="41"/>
      <c r="X226" s="41"/>
      <c r="Z226" s="46"/>
      <c r="AA226" s="46"/>
      <c r="AB226" s="46"/>
    </row>
    <row r="227" spans="1:28" s="32" customFormat="1" ht="18" customHeight="1" x14ac:dyDescent="0.4">
      <c r="A227" s="33">
        <v>230</v>
      </c>
      <c r="B227" s="53" t="s">
        <v>96</v>
      </c>
      <c r="C227" s="5" t="s">
        <v>258</v>
      </c>
      <c r="D227" s="9" t="s">
        <v>42</v>
      </c>
      <c r="E227" s="88" t="s">
        <v>175</v>
      </c>
      <c r="F227" s="88">
        <v>1</v>
      </c>
      <c r="G227" s="29">
        <v>2999</v>
      </c>
      <c r="H227" s="60">
        <v>0.52</v>
      </c>
      <c r="I227" s="65">
        <v>0.05</v>
      </c>
      <c r="J227" s="68">
        <v>1370.97</v>
      </c>
      <c r="K227" s="68">
        <f t="shared" si="190"/>
        <v>68.548500000000004</v>
      </c>
      <c r="L227" s="68">
        <f t="shared" si="191"/>
        <v>1439.5185000000001</v>
      </c>
      <c r="M227" s="6">
        <v>899.7</v>
      </c>
      <c r="N227" s="6">
        <v>899.7</v>
      </c>
      <c r="O227" s="58">
        <v>0.05</v>
      </c>
      <c r="P227" s="51">
        <f t="shared" ref="P227" si="192">+N227*0.952380952380952</f>
        <v>856.85714285714255</v>
      </c>
      <c r="Q227" s="51">
        <f t="shared" ref="Q227" si="193">+P227*5%</f>
        <v>42.842857142857127</v>
      </c>
      <c r="R227" s="51">
        <f t="shared" ref="R227" si="194">+P227+Q227</f>
        <v>899.6999999999997</v>
      </c>
      <c r="S227" s="10" t="s">
        <v>235</v>
      </c>
      <c r="T227" s="10" t="s">
        <v>10</v>
      </c>
      <c r="U227" s="11" t="s">
        <v>235</v>
      </c>
      <c r="V227" s="11" t="s">
        <v>235</v>
      </c>
      <c r="W227" s="41"/>
      <c r="X227" s="41"/>
      <c r="Z227" s="46"/>
      <c r="AA227" s="46"/>
      <c r="AB227" s="46"/>
    </row>
    <row r="228" spans="1:28" s="32" customFormat="1" ht="18" customHeight="1" x14ac:dyDescent="0.4">
      <c r="A228" s="33">
        <v>231</v>
      </c>
      <c r="B228" s="53" t="s">
        <v>96</v>
      </c>
      <c r="C228" s="5" t="s">
        <v>258</v>
      </c>
      <c r="D228" s="9" t="s">
        <v>42</v>
      </c>
      <c r="E228" s="88" t="s">
        <v>175</v>
      </c>
      <c r="F228" s="88">
        <v>1</v>
      </c>
      <c r="G228" s="29">
        <v>2999</v>
      </c>
      <c r="H228" s="60">
        <v>0.52</v>
      </c>
      <c r="I228" s="65">
        <v>0.05</v>
      </c>
      <c r="J228" s="68">
        <v>1370.97</v>
      </c>
      <c r="K228" s="68">
        <f t="shared" si="190"/>
        <v>68.548500000000004</v>
      </c>
      <c r="L228" s="68">
        <f t="shared" si="191"/>
        <v>1439.5185000000001</v>
      </c>
      <c r="M228" s="6">
        <v>899.7</v>
      </c>
      <c r="N228" s="6">
        <v>899.7</v>
      </c>
      <c r="O228" s="58">
        <v>0.05</v>
      </c>
      <c r="P228" s="51">
        <f t="shared" ref="P228:P230" si="195">+N228*0.952380952380952</f>
        <v>856.85714285714255</v>
      </c>
      <c r="Q228" s="51">
        <f t="shared" ref="Q228:Q230" si="196">+P228*5%</f>
        <v>42.842857142857127</v>
      </c>
      <c r="R228" s="51">
        <f t="shared" ref="R228:R230" si="197">+P228+Q228</f>
        <v>899.6999999999997</v>
      </c>
      <c r="S228" s="10" t="s">
        <v>277</v>
      </c>
      <c r="T228" s="10" t="s">
        <v>10</v>
      </c>
      <c r="U228" s="11" t="s">
        <v>277</v>
      </c>
      <c r="V228" s="11" t="s">
        <v>277</v>
      </c>
      <c r="W228" s="41"/>
      <c r="X228" s="41"/>
      <c r="Z228" s="46"/>
      <c r="AA228" s="46"/>
      <c r="AB228" s="46"/>
    </row>
    <row r="229" spans="1:28" s="32" customFormat="1" ht="18" customHeight="1" x14ac:dyDescent="0.4">
      <c r="A229" s="33">
        <v>232</v>
      </c>
      <c r="B229" s="53" t="s">
        <v>278</v>
      </c>
      <c r="C229" s="5" t="s">
        <v>279</v>
      </c>
      <c r="D229" s="9" t="s">
        <v>42</v>
      </c>
      <c r="E229" s="88" t="s">
        <v>175</v>
      </c>
      <c r="F229" s="88">
        <v>1</v>
      </c>
      <c r="G229" s="29">
        <v>3099</v>
      </c>
      <c r="H229" s="60">
        <v>0.52</v>
      </c>
      <c r="I229" s="65">
        <v>0.05</v>
      </c>
      <c r="J229" s="68">
        <v>1416.69</v>
      </c>
      <c r="K229" s="68">
        <f t="shared" si="190"/>
        <v>70.834500000000006</v>
      </c>
      <c r="L229" s="68">
        <f t="shared" si="191"/>
        <v>1487.5245</v>
      </c>
      <c r="M229" s="6">
        <v>929.7</v>
      </c>
      <c r="N229" s="6">
        <v>929.7</v>
      </c>
      <c r="O229" s="58">
        <v>0.05</v>
      </c>
      <c r="P229" s="51">
        <f t="shared" si="195"/>
        <v>885.4285714285711</v>
      </c>
      <c r="Q229" s="51">
        <f t="shared" si="196"/>
        <v>44.271428571428558</v>
      </c>
      <c r="R229" s="51">
        <f t="shared" si="197"/>
        <v>929.6999999999997</v>
      </c>
      <c r="S229" s="10" t="s">
        <v>235</v>
      </c>
      <c r="T229" s="10" t="s">
        <v>10</v>
      </c>
      <c r="U229" s="11" t="s">
        <v>235</v>
      </c>
      <c r="V229" s="11" t="s">
        <v>235</v>
      </c>
      <c r="W229" s="41"/>
      <c r="X229" s="41"/>
      <c r="Z229" s="46"/>
      <c r="AA229" s="46"/>
      <c r="AB229" s="46"/>
    </row>
    <row r="230" spans="1:28" s="32" customFormat="1" ht="18" customHeight="1" x14ac:dyDescent="0.4">
      <c r="A230" s="8">
        <v>233</v>
      </c>
      <c r="B230" s="53" t="s">
        <v>36</v>
      </c>
      <c r="C230" s="5" t="s">
        <v>35</v>
      </c>
      <c r="D230" s="9" t="s">
        <v>20</v>
      </c>
      <c r="E230" s="88" t="s">
        <v>116</v>
      </c>
      <c r="F230" s="88">
        <v>1</v>
      </c>
      <c r="G230" s="29">
        <v>5000</v>
      </c>
      <c r="H230" s="60">
        <v>0.52</v>
      </c>
      <c r="I230" s="65">
        <v>0.05</v>
      </c>
      <c r="J230" s="68">
        <v>2285.71</v>
      </c>
      <c r="K230" s="68">
        <f t="shared" si="190"/>
        <v>114.28550000000001</v>
      </c>
      <c r="L230" s="68">
        <f t="shared" si="191"/>
        <v>2399.9955</v>
      </c>
      <c r="M230" s="29">
        <v>3000</v>
      </c>
      <c r="N230" s="29">
        <v>3000</v>
      </c>
      <c r="O230" s="58">
        <v>0.05</v>
      </c>
      <c r="P230" s="51">
        <f t="shared" si="195"/>
        <v>2857.142857142856</v>
      </c>
      <c r="Q230" s="51">
        <f t="shared" si="196"/>
        <v>142.8571428571428</v>
      </c>
      <c r="R230" s="51">
        <f t="shared" si="197"/>
        <v>2999.9999999999986</v>
      </c>
      <c r="S230" s="9" t="s">
        <v>280</v>
      </c>
      <c r="T230" s="10" t="s">
        <v>10</v>
      </c>
      <c r="U230" s="11" t="s">
        <v>280</v>
      </c>
      <c r="V230" s="11" t="s">
        <v>280</v>
      </c>
      <c r="W230" s="41" t="s">
        <v>312</v>
      </c>
      <c r="X230" s="41" t="s">
        <v>313</v>
      </c>
      <c r="Z230" s="46"/>
      <c r="AA230" s="46"/>
      <c r="AB230" s="46"/>
    </row>
    <row r="231" spans="1:28" s="32" customFormat="1" ht="18" customHeight="1" x14ac:dyDescent="0.4">
      <c r="A231" s="8">
        <v>234</v>
      </c>
      <c r="B231" s="53" t="s">
        <v>281</v>
      </c>
      <c r="C231" s="5" t="s">
        <v>94</v>
      </c>
      <c r="D231" s="9" t="s">
        <v>20</v>
      </c>
      <c r="E231" s="87" t="s">
        <v>107</v>
      </c>
      <c r="F231" s="87">
        <v>1</v>
      </c>
      <c r="G231" s="29">
        <v>5200</v>
      </c>
      <c r="H231" s="60">
        <v>0.5</v>
      </c>
      <c r="I231" s="65">
        <v>0.18</v>
      </c>
      <c r="J231" s="68">
        <v>2203.39</v>
      </c>
      <c r="K231" s="68">
        <f t="shared" si="190"/>
        <v>396.61019999999996</v>
      </c>
      <c r="L231" s="68">
        <f t="shared" si="191"/>
        <v>2600.0001999999999</v>
      </c>
      <c r="M231" s="29">
        <v>3120</v>
      </c>
      <c r="N231" s="29">
        <v>3120</v>
      </c>
      <c r="O231" s="58">
        <v>0.18</v>
      </c>
      <c r="P231" s="51">
        <f>+N231*0.847457627118644</f>
        <v>2644.0677966101694</v>
      </c>
      <c r="Q231" s="51">
        <f>+P231*18%</f>
        <v>475.93220338983048</v>
      </c>
      <c r="R231" s="51">
        <f>+P231+Q231</f>
        <v>3120</v>
      </c>
      <c r="S231" s="9" t="s">
        <v>280</v>
      </c>
      <c r="T231" s="10" t="s">
        <v>10</v>
      </c>
      <c r="U231" s="11" t="s">
        <v>280</v>
      </c>
      <c r="V231" s="11" t="s">
        <v>280</v>
      </c>
      <c r="W231" s="41" t="s">
        <v>312</v>
      </c>
      <c r="X231" s="41" t="s">
        <v>314</v>
      </c>
      <c r="Z231" s="46"/>
      <c r="AA231" s="46"/>
      <c r="AB231" s="46"/>
    </row>
    <row r="232" spans="1:28" s="32" customFormat="1" ht="18" customHeight="1" x14ac:dyDescent="0.4">
      <c r="A232" s="33">
        <v>235</v>
      </c>
      <c r="B232" s="13" t="s">
        <v>36</v>
      </c>
      <c r="C232" s="13" t="s">
        <v>33</v>
      </c>
      <c r="D232" s="9" t="s">
        <v>12</v>
      </c>
      <c r="E232" s="87" t="s">
        <v>107</v>
      </c>
      <c r="F232" s="87">
        <v>1</v>
      </c>
      <c r="G232" s="29">
        <v>9000</v>
      </c>
      <c r="H232" s="60">
        <v>0.5</v>
      </c>
      <c r="I232" s="65">
        <v>0.18</v>
      </c>
      <c r="J232" s="68">
        <v>3813.56</v>
      </c>
      <c r="K232" s="68">
        <f t="shared" si="190"/>
        <v>686.44079999999997</v>
      </c>
      <c r="L232" s="68">
        <f>+J232+K232</f>
        <v>4500.0007999999998</v>
      </c>
      <c r="M232" s="6">
        <v>3856</v>
      </c>
      <c r="N232" s="6">
        <v>3856</v>
      </c>
      <c r="O232" s="58">
        <v>0.18</v>
      </c>
      <c r="P232" s="51">
        <f>+N232*0.847457627118644</f>
        <v>3267.7966101694915</v>
      </c>
      <c r="Q232" s="51">
        <f>+P232*18%</f>
        <v>588.2033898305084</v>
      </c>
      <c r="R232" s="51">
        <f>+P232+Q232</f>
        <v>3856</v>
      </c>
      <c r="S232" s="10" t="s">
        <v>282</v>
      </c>
      <c r="T232" s="10" t="s">
        <v>10</v>
      </c>
      <c r="U232" s="11" t="s">
        <v>142</v>
      </c>
      <c r="V232" s="36" t="s">
        <v>142</v>
      </c>
      <c r="W232" s="41"/>
      <c r="X232" s="41"/>
      <c r="Y232" s="32" t="s">
        <v>147</v>
      </c>
      <c r="Z232" s="46"/>
      <c r="AA232" s="46"/>
      <c r="AB232" s="46"/>
    </row>
    <row r="233" spans="1:28" s="32" customFormat="1" ht="18" customHeight="1" x14ac:dyDescent="0.4">
      <c r="A233" s="33">
        <v>236</v>
      </c>
      <c r="B233" s="13" t="s">
        <v>36</v>
      </c>
      <c r="C233" s="13" t="s">
        <v>33</v>
      </c>
      <c r="D233" s="9" t="s">
        <v>20</v>
      </c>
      <c r="E233" s="88" t="s">
        <v>116</v>
      </c>
      <c r="F233" s="88">
        <v>1</v>
      </c>
      <c r="G233" s="29">
        <v>9000</v>
      </c>
      <c r="H233" s="60">
        <v>0.52</v>
      </c>
      <c r="I233" s="65">
        <v>0.18</v>
      </c>
      <c r="J233" s="68">
        <v>3661.02</v>
      </c>
      <c r="K233" s="68">
        <f t="shared" si="190"/>
        <v>658.98360000000002</v>
      </c>
      <c r="L233" s="68">
        <f>+J233+K233</f>
        <v>4320.0036</v>
      </c>
      <c r="M233" s="6">
        <v>4206.6000000000004</v>
      </c>
      <c r="N233" s="6">
        <v>4206.6000000000004</v>
      </c>
      <c r="O233" s="58">
        <v>0.18</v>
      </c>
      <c r="P233" s="51">
        <f>+N233*0.847457627118644</f>
        <v>3564.9152542372881</v>
      </c>
      <c r="Q233" s="51">
        <f>+P233*18%</f>
        <v>641.68474576271183</v>
      </c>
      <c r="R233" s="51">
        <f>+P233+Q233</f>
        <v>4206.6000000000004</v>
      </c>
      <c r="S233" s="10" t="s">
        <v>271</v>
      </c>
      <c r="T233" s="10" t="s">
        <v>10</v>
      </c>
      <c r="U233" s="11" t="s">
        <v>142</v>
      </c>
      <c r="V233" s="36" t="s">
        <v>142</v>
      </c>
      <c r="W233" s="41"/>
      <c r="X233" s="41"/>
      <c r="Y233" s="32" t="s">
        <v>147</v>
      </c>
      <c r="Z233" s="46"/>
      <c r="AA233" s="46"/>
      <c r="AB233" s="46"/>
    </row>
    <row r="234" spans="1:28" s="32" customFormat="1" ht="18" customHeight="1" x14ac:dyDescent="0.4">
      <c r="A234" s="33">
        <v>237</v>
      </c>
      <c r="B234" s="53" t="s">
        <v>30</v>
      </c>
      <c r="C234" s="13" t="s">
        <v>39</v>
      </c>
      <c r="D234" s="9" t="s">
        <v>16</v>
      </c>
      <c r="E234" s="88" t="s">
        <v>175</v>
      </c>
      <c r="F234" s="88">
        <v>1</v>
      </c>
      <c r="G234" s="29">
        <v>4590</v>
      </c>
      <c r="H234" s="60">
        <v>0.56999999999999995</v>
      </c>
      <c r="I234" s="65">
        <v>0.05</v>
      </c>
      <c r="J234" s="68">
        <v>1879.71</v>
      </c>
      <c r="K234" s="68">
        <f t="shared" ref="K234:K237" si="198">+I234*J234</f>
        <v>93.985500000000002</v>
      </c>
      <c r="L234" s="68">
        <f>+J234+K234</f>
        <v>1973.6955</v>
      </c>
      <c r="M234" s="6">
        <v>2754</v>
      </c>
      <c r="N234" s="6">
        <v>2754</v>
      </c>
      <c r="O234" s="58">
        <v>0.05</v>
      </c>
      <c r="P234" s="51">
        <f t="shared" ref="P234" si="199">+N234*0.952380952380952</f>
        <v>2622.8571428571418</v>
      </c>
      <c r="Q234" s="51">
        <f t="shared" ref="Q234" si="200">+P234*5%</f>
        <v>131.14285714285708</v>
      </c>
      <c r="R234" s="51">
        <f t="shared" ref="R234" si="201">+P234+Q234</f>
        <v>2753.9999999999986</v>
      </c>
      <c r="S234" s="10" t="s">
        <v>83</v>
      </c>
      <c r="T234" s="10" t="s">
        <v>10</v>
      </c>
      <c r="U234" s="11" t="s">
        <v>83</v>
      </c>
      <c r="V234" s="11" t="s">
        <v>83</v>
      </c>
      <c r="W234" s="41"/>
      <c r="X234" s="41"/>
      <c r="Z234" s="46"/>
      <c r="AA234" s="46"/>
      <c r="AB234" s="46"/>
    </row>
    <row r="235" spans="1:28" s="32" customFormat="1" ht="18" customHeight="1" x14ac:dyDescent="0.4">
      <c r="A235" s="33">
        <v>238</v>
      </c>
      <c r="B235" s="53" t="s">
        <v>30</v>
      </c>
      <c r="C235" s="13" t="s">
        <v>31</v>
      </c>
      <c r="D235" s="9" t="s">
        <v>4</v>
      </c>
      <c r="E235" s="88" t="s">
        <v>175</v>
      </c>
      <c r="F235" s="88">
        <v>1</v>
      </c>
      <c r="G235" s="29">
        <v>1967</v>
      </c>
      <c r="H235" s="60">
        <v>0.52</v>
      </c>
      <c r="I235" s="65">
        <v>0.05</v>
      </c>
      <c r="J235" s="68">
        <v>899.2</v>
      </c>
      <c r="K235" s="68">
        <f t="shared" si="198"/>
        <v>44.960000000000008</v>
      </c>
      <c r="L235" s="68">
        <f t="shared" ref="L235:L237" si="202">+J235+K235</f>
        <v>944.16000000000008</v>
      </c>
      <c r="M235" s="6">
        <v>1180.2</v>
      </c>
      <c r="N235" s="6">
        <v>1180.2</v>
      </c>
      <c r="O235" s="58">
        <v>0.05</v>
      </c>
      <c r="P235" s="51">
        <f t="shared" ref="P235:P236" si="203">+N235*0.952380952380952</f>
        <v>1123.9999999999995</v>
      </c>
      <c r="Q235" s="51">
        <f t="shared" ref="Q235:Q236" si="204">+P235*5%</f>
        <v>56.199999999999982</v>
      </c>
      <c r="R235" s="51">
        <f t="shared" ref="R235:R237" si="205">+P235+Q235</f>
        <v>1180.1999999999996</v>
      </c>
      <c r="S235" s="10" t="s">
        <v>184</v>
      </c>
      <c r="T235" s="10" t="s">
        <v>10</v>
      </c>
      <c r="U235" s="11" t="s">
        <v>184</v>
      </c>
      <c r="V235" s="11" t="s">
        <v>184</v>
      </c>
      <c r="W235" s="41"/>
      <c r="X235" s="41"/>
      <c r="Z235" s="46"/>
      <c r="AA235" s="46"/>
      <c r="AB235" s="46"/>
    </row>
    <row r="236" spans="1:28" s="32" customFormat="1" ht="18" customHeight="1" x14ac:dyDescent="0.4">
      <c r="A236" s="8">
        <v>239</v>
      </c>
      <c r="B236" s="53" t="s">
        <v>96</v>
      </c>
      <c r="C236" s="5" t="s">
        <v>165</v>
      </c>
      <c r="D236" s="9" t="s">
        <v>18</v>
      </c>
      <c r="E236" s="88" t="s">
        <v>175</v>
      </c>
      <c r="F236" s="88">
        <v>1</v>
      </c>
      <c r="G236" s="29">
        <v>2799</v>
      </c>
      <c r="H236" s="60">
        <v>0.52</v>
      </c>
      <c r="I236" s="65">
        <v>0.05</v>
      </c>
      <c r="J236" s="68">
        <v>1279.54</v>
      </c>
      <c r="K236" s="68">
        <f t="shared" si="198"/>
        <v>63.977000000000004</v>
      </c>
      <c r="L236" s="68">
        <f t="shared" si="202"/>
        <v>1343.5170000000001</v>
      </c>
      <c r="M236" s="6">
        <v>1680</v>
      </c>
      <c r="N236" s="6">
        <v>1680</v>
      </c>
      <c r="O236" s="58">
        <v>0.05</v>
      </c>
      <c r="P236" s="51">
        <f t="shared" si="203"/>
        <v>1599.9999999999993</v>
      </c>
      <c r="Q236" s="51">
        <f t="shared" si="204"/>
        <v>79.999999999999972</v>
      </c>
      <c r="R236" s="51">
        <f t="shared" si="205"/>
        <v>1679.9999999999993</v>
      </c>
      <c r="S236" s="10" t="s">
        <v>234</v>
      </c>
      <c r="T236" s="10" t="s">
        <v>10</v>
      </c>
      <c r="U236" s="11" t="s">
        <v>234</v>
      </c>
      <c r="V236" s="11" t="s">
        <v>234</v>
      </c>
      <c r="W236" s="41" t="s">
        <v>312</v>
      </c>
      <c r="X236" s="41" t="s">
        <v>318</v>
      </c>
      <c r="Z236" s="46"/>
      <c r="AA236" s="46"/>
      <c r="AB236" s="46"/>
    </row>
    <row r="237" spans="1:28" s="32" customFormat="1" ht="18" customHeight="1" x14ac:dyDescent="0.4">
      <c r="A237" s="8">
        <v>240</v>
      </c>
      <c r="B237" s="53" t="s">
        <v>36</v>
      </c>
      <c r="C237" s="5" t="s">
        <v>52</v>
      </c>
      <c r="D237" s="9" t="s">
        <v>20</v>
      </c>
      <c r="E237" s="88" t="s">
        <v>116</v>
      </c>
      <c r="F237" s="88">
        <v>1</v>
      </c>
      <c r="G237" s="29">
        <v>7011</v>
      </c>
      <c r="H237" s="60">
        <v>0.52</v>
      </c>
      <c r="I237" s="65">
        <v>0.18</v>
      </c>
      <c r="J237" s="68">
        <v>2851.93</v>
      </c>
      <c r="K237" s="68">
        <f t="shared" si="198"/>
        <v>513.34739999999999</v>
      </c>
      <c r="L237" s="68">
        <f t="shared" si="202"/>
        <v>3365.2773999999999</v>
      </c>
      <c r="M237" s="29">
        <v>4207</v>
      </c>
      <c r="N237" s="29">
        <v>4207</v>
      </c>
      <c r="O237" s="58">
        <v>0.18</v>
      </c>
      <c r="P237" s="51">
        <f>+N237*0.847457627118644</f>
        <v>3565.2542372881353</v>
      </c>
      <c r="Q237" s="51">
        <f>+P237*18%</f>
        <v>641.74576271186436</v>
      </c>
      <c r="R237" s="51">
        <f t="shared" si="205"/>
        <v>4207</v>
      </c>
      <c r="S237" s="9" t="s">
        <v>280</v>
      </c>
      <c r="T237" s="10" t="s">
        <v>7</v>
      </c>
      <c r="U237" s="11" t="s">
        <v>283</v>
      </c>
      <c r="V237" s="11" t="s">
        <v>283</v>
      </c>
      <c r="W237" s="41" t="s">
        <v>312</v>
      </c>
      <c r="X237" s="41" t="s">
        <v>284</v>
      </c>
      <c r="Z237" s="46"/>
      <c r="AA237" s="46"/>
      <c r="AB237" s="46"/>
    </row>
    <row r="238" spans="1:28" s="32" customFormat="1" ht="18" customHeight="1" x14ac:dyDescent="0.4">
      <c r="A238" s="8">
        <v>241</v>
      </c>
      <c r="B238" s="53" t="s">
        <v>36</v>
      </c>
      <c r="C238" s="5" t="s">
        <v>52</v>
      </c>
      <c r="D238" s="9" t="s">
        <v>20</v>
      </c>
      <c r="E238" s="88" t="s">
        <v>175</v>
      </c>
      <c r="F238" s="88">
        <v>1</v>
      </c>
      <c r="G238" s="29">
        <v>7011</v>
      </c>
      <c r="H238" s="60">
        <v>0.52</v>
      </c>
      <c r="I238" s="65">
        <v>0.18</v>
      </c>
      <c r="J238" s="68">
        <v>2851.93</v>
      </c>
      <c r="K238" s="68">
        <f t="shared" ref="K238" si="206">+I238*J238</f>
        <v>513.34739999999999</v>
      </c>
      <c r="L238" s="68">
        <f t="shared" ref="L238" si="207">+J238+K238</f>
        <v>3365.2773999999999</v>
      </c>
      <c r="M238" s="29">
        <v>4207</v>
      </c>
      <c r="N238" s="29">
        <v>4207</v>
      </c>
      <c r="O238" s="58">
        <v>0.18</v>
      </c>
      <c r="P238" s="51">
        <f>+N238*0.847457627118644</f>
        <v>3565.2542372881353</v>
      </c>
      <c r="Q238" s="51">
        <f>+P238*18%</f>
        <v>641.74576271186436</v>
      </c>
      <c r="R238" s="51">
        <f t="shared" ref="R238" si="208">+P238+Q238</f>
        <v>4207</v>
      </c>
      <c r="S238" s="9" t="s">
        <v>142</v>
      </c>
      <c r="T238" s="10" t="s">
        <v>10</v>
      </c>
      <c r="U238" s="11" t="s">
        <v>142</v>
      </c>
      <c r="V238" s="11" t="s">
        <v>142</v>
      </c>
      <c r="W238" s="41" t="s">
        <v>311</v>
      </c>
      <c r="X238" s="41" t="s">
        <v>308</v>
      </c>
      <c r="Z238" s="46"/>
      <c r="AA238" s="46"/>
      <c r="AB238" s="46"/>
    </row>
    <row r="239" spans="1:28" s="32" customFormat="1" ht="18" customHeight="1" x14ac:dyDescent="0.4">
      <c r="A239" s="8">
        <v>242</v>
      </c>
      <c r="B239" s="53" t="s">
        <v>281</v>
      </c>
      <c r="C239" s="5" t="s">
        <v>285</v>
      </c>
      <c r="D239" s="9" t="s">
        <v>20</v>
      </c>
      <c r="E239" s="88" t="s">
        <v>175</v>
      </c>
      <c r="F239" s="88">
        <v>1</v>
      </c>
      <c r="G239" s="29">
        <v>6500</v>
      </c>
      <c r="H239" s="60">
        <v>0.52</v>
      </c>
      <c r="I239" s="65">
        <v>0.18</v>
      </c>
      <c r="J239" s="68">
        <v>2851.93</v>
      </c>
      <c r="K239" s="68">
        <f t="shared" ref="K239:K240" si="209">+I239*J239</f>
        <v>513.34739999999999</v>
      </c>
      <c r="L239" s="68">
        <f t="shared" ref="L239" si="210">+J239+K239</f>
        <v>3365.2773999999999</v>
      </c>
      <c r="M239" s="29">
        <v>3900</v>
      </c>
      <c r="N239" s="29">
        <v>3900</v>
      </c>
      <c r="O239" s="58">
        <v>0.18</v>
      </c>
      <c r="P239" s="51">
        <f>+N239*0.847457627118644</f>
        <v>3305.0847457627119</v>
      </c>
      <c r="Q239" s="51">
        <f>+P239*18%</f>
        <v>594.91525423728808</v>
      </c>
      <c r="R239" s="51">
        <f t="shared" ref="R239" si="211">+P239+Q239</f>
        <v>3900</v>
      </c>
      <c r="S239" s="9" t="s">
        <v>142</v>
      </c>
      <c r="T239" s="10" t="s">
        <v>10</v>
      </c>
      <c r="U239" s="11" t="s">
        <v>142</v>
      </c>
      <c r="V239" s="11" t="s">
        <v>142</v>
      </c>
      <c r="W239" s="41" t="s">
        <v>311</v>
      </c>
      <c r="X239" s="41" t="s">
        <v>309</v>
      </c>
      <c r="Z239" s="46"/>
      <c r="AA239" s="46"/>
      <c r="AB239" s="46"/>
    </row>
    <row r="240" spans="1:28" s="32" customFormat="1" ht="18" customHeight="1" x14ac:dyDescent="0.4">
      <c r="A240" s="33">
        <v>243</v>
      </c>
      <c r="B240" s="5" t="s">
        <v>186</v>
      </c>
      <c r="C240" s="5"/>
      <c r="D240" s="9"/>
      <c r="E240" s="88" t="s">
        <v>116</v>
      </c>
      <c r="F240" s="88">
        <v>1</v>
      </c>
      <c r="G240" s="107">
        <v>1593</v>
      </c>
      <c r="H240" s="60">
        <v>0.52</v>
      </c>
      <c r="I240" s="65">
        <v>0.18</v>
      </c>
      <c r="J240" s="68">
        <v>648</v>
      </c>
      <c r="K240" s="68">
        <f t="shared" si="209"/>
        <v>116.64</v>
      </c>
      <c r="L240" s="68">
        <f>+J240+K240</f>
        <v>764.64</v>
      </c>
      <c r="M240" s="6">
        <v>958</v>
      </c>
      <c r="N240" s="6">
        <v>958</v>
      </c>
      <c r="O240" s="58">
        <v>0.18</v>
      </c>
      <c r="P240" s="51">
        <f>+N240*0.847457627118644</f>
        <v>811.86440677966095</v>
      </c>
      <c r="Q240" s="51">
        <f>+P240*18%</f>
        <v>146.13559322033896</v>
      </c>
      <c r="R240" s="51">
        <f>+P240+Q240</f>
        <v>957.99999999999989</v>
      </c>
      <c r="S240" s="9" t="s">
        <v>142</v>
      </c>
      <c r="T240" s="10" t="s">
        <v>10</v>
      </c>
      <c r="U240" s="11" t="s">
        <v>142</v>
      </c>
      <c r="V240" s="11" t="s">
        <v>142</v>
      </c>
      <c r="W240" s="41" t="s">
        <v>311</v>
      </c>
      <c r="X240" s="41" t="s">
        <v>309</v>
      </c>
      <c r="Z240" s="46"/>
      <c r="AA240" s="46"/>
      <c r="AB240" s="46"/>
    </row>
    <row r="241" spans="1:28" s="32" customFormat="1" ht="18" customHeight="1" x14ac:dyDescent="0.4">
      <c r="A241" s="33">
        <v>244</v>
      </c>
      <c r="B241" s="5" t="s">
        <v>186</v>
      </c>
      <c r="C241" s="5"/>
      <c r="D241" s="9"/>
      <c r="E241" s="88" t="s">
        <v>116</v>
      </c>
      <c r="F241" s="88">
        <v>1</v>
      </c>
      <c r="G241" s="107">
        <v>1593</v>
      </c>
      <c r="H241" s="60">
        <v>0.52</v>
      </c>
      <c r="I241" s="65">
        <v>0.18</v>
      </c>
      <c r="J241" s="68">
        <v>648</v>
      </c>
      <c r="K241" s="68">
        <f t="shared" ref="K241:K242" si="212">+I241*J241</f>
        <v>116.64</v>
      </c>
      <c r="L241" s="68">
        <f>+J241+K241</f>
        <v>764.64</v>
      </c>
      <c r="M241" s="6">
        <v>797</v>
      </c>
      <c r="N241" s="6">
        <v>797</v>
      </c>
      <c r="O241" s="58">
        <v>0.18</v>
      </c>
      <c r="P241" s="51">
        <f>+N241*0.847457627118644</f>
        <v>675.42372881355925</v>
      </c>
      <c r="Q241" s="51">
        <f>+P241*18%</f>
        <v>121.57627118644066</v>
      </c>
      <c r="R241" s="51">
        <f>+P241+Q241</f>
        <v>796.99999999999989</v>
      </c>
      <c r="S241" s="9" t="s">
        <v>114</v>
      </c>
      <c r="T241" s="10" t="s">
        <v>10</v>
      </c>
      <c r="U241" s="11" t="s">
        <v>114</v>
      </c>
      <c r="V241" s="11" t="s">
        <v>114</v>
      </c>
      <c r="W241" s="41"/>
      <c r="X241" s="41"/>
      <c r="Z241" s="46"/>
      <c r="AA241" s="46"/>
      <c r="AB241" s="46"/>
    </row>
    <row r="242" spans="1:28" s="32" customFormat="1" ht="18" customHeight="1" x14ac:dyDescent="0.4">
      <c r="A242" s="8">
        <v>245</v>
      </c>
      <c r="B242" s="53" t="s">
        <v>30</v>
      </c>
      <c r="C242" s="5" t="s">
        <v>32</v>
      </c>
      <c r="D242" s="9" t="s">
        <v>20</v>
      </c>
      <c r="E242" s="88" t="s">
        <v>116</v>
      </c>
      <c r="F242" s="88">
        <v>1</v>
      </c>
      <c r="G242" s="29">
        <v>1967</v>
      </c>
      <c r="H242" s="60">
        <v>0.52</v>
      </c>
      <c r="I242" s="65">
        <v>0.05</v>
      </c>
      <c r="J242" s="68">
        <v>899.2</v>
      </c>
      <c r="K242" s="68">
        <f t="shared" si="212"/>
        <v>44.960000000000008</v>
      </c>
      <c r="L242" s="68">
        <f t="shared" ref="L242" si="213">+J242+K242</f>
        <v>944.16000000000008</v>
      </c>
      <c r="M242" s="29">
        <v>1180</v>
      </c>
      <c r="N242" s="29">
        <v>1180</v>
      </c>
      <c r="O242" s="58">
        <v>0.05</v>
      </c>
      <c r="P242" s="51">
        <f t="shared" ref="P242:P245" si="214">+N242*0.952380952380952</f>
        <v>1123.8095238095234</v>
      </c>
      <c r="Q242" s="51">
        <f t="shared" ref="Q242:Q245" si="215">+P242*5%</f>
        <v>56.190476190476176</v>
      </c>
      <c r="R242" s="51">
        <f t="shared" ref="R242:R251" si="216">+P242+Q242</f>
        <v>1179.9999999999995</v>
      </c>
      <c r="S242" s="9" t="s">
        <v>114</v>
      </c>
      <c r="T242" s="10" t="s">
        <v>10</v>
      </c>
      <c r="U242" s="11" t="s">
        <v>114</v>
      </c>
      <c r="V242" s="11" t="s">
        <v>114</v>
      </c>
      <c r="W242" s="41"/>
      <c r="X242" s="41"/>
      <c r="Z242" s="46"/>
      <c r="AA242" s="46"/>
      <c r="AB242" s="46"/>
    </row>
    <row r="243" spans="1:28" s="32" customFormat="1" ht="18" customHeight="1" x14ac:dyDescent="0.4">
      <c r="A243" s="8">
        <v>246</v>
      </c>
      <c r="B243" s="53" t="s">
        <v>30</v>
      </c>
      <c r="C243" s="5" t="s">
        <v>163</v>
      </c>
      <c r="D243" s="9" t="s">
        <v>41</v>
      </c>
      <c r="E243" s="88" t="s">
        <v>116</v>
      </c>
      <c r="F243" s="88">
        <v>1</v>
      </c>
      <c r="G243" s="29">
        <v>2999</v>
      </c>
      <c r="H243" s="60">
        <v>0.52</v>
      </c>
      <c r="I243" s="65">
        <v>0.05</v>
      </c>
      <c r="J243" s="68">
        <v>1370.97</v>
      </c>
      <c r="K243" s="68">
        <f>+I243*J243</f>
        <v>68.548500000000004</v>
      </c>
      <c r="L243" s="68">
        <f>+J243+K243</f>
        <v>1439.5185000000001</v>
      </c>
      <c r="M243" s="6">
        <v>1800</v>
      </c>
      <c r="N243" s="6">
        <v>1800</v>
      </c>
      <c r="O243" s="58">
        <v>0.05</v>
      </c>
      <c r="P243" s="51">
        <f t="shared" si="214"/>
        <v>1714.2857142857135</v>
      </c>
      <c r="Q243" s="51">
        <f t="shared" si="215"/>
        <v>85.71428571428568</v>
      </c>
      <c r="R243" s="51">
        <f t="shared" si="216"/>
        <v>1799.9999999999993</v>
      </c>
      <c r="S243" s="10" t="s">
        <v>234</v>
      </c>
      <c r="T243" s="10" t="s">
        <v>10</v>
      </c>
      <c r="U243" s="11" t="s">
        <v>234</v>
      </c>
      <c r="V243" s="11" t="s">
        <v>234</v>
      </c>
      <c r="W243" s="41" t="s">
        <v>312</v>
      </c>
      <c r="X243" s="41" t="s">
        <v>318</v>
      </c>
      <c r="Z243" s="46"/>
      <c r="AA243" s="46"/>
      <c r="AB243" s="46"/>
    </row>
    <row r="244" spans="1:28" s="32" customFormat="1" ht="18" customHeight="1" x14ac:dyDescent="0.4">
      <c r="A244" s="33">
        <v>247</v>
      </c>
      <c r="B244" s="53" t="s">
        <v>30</v>
      </c>
      <c r="C244" s="5" t="s">
        <v>112</v>
      </c>
      <c r="D244" s="9" t="s">
        <v>20</v>
      </c>
      <c r="E244" s="88" t="s">
        <v>116</v>
      </c>
      <c r="F244" s="88">
        <v>1</v>
      </c>
      <c r="G244" s="29">
        <v>2999</v>
      </c>
      <c r="H244" s="60">
        <v>0.52</v>
      </c>
      <c r="I244" s="65">
        <v>0.05</v>
      </c>
      <c r="J244" s="68">
        <v>1370.97</v>
      </c>
      <c r="K244" s="68">
        <f>+I244*J244</f>
        <v>68.548500000000004</v>
      </c>
      <c r="L244" s="68">
        <f>+J244+K244</f>
        <v>1439.5185000000001</v>
      </c>
      <c r="M244" s="6">
        <v>1800</v>
      </c>
      <c r="N244" s="6">
        <v>1800</v>
      </c>
      <c r="O244" s="58">
        <v>0.05</v>
      </c>
      <c r="P244" s="51">
        <f t="shared" si="214"/>
        <v>1714.2857142857135</v>
      </c>
      <c r="Q244" s="51">
        <f t="shared" si="215"/>
        <v>85.71428571428568</v>
      </c>
      <c r="R244" s="51">
        <f t="shared" si="216"/>
        <v>1799.9999999999993</v>
      </c>
      <c r="S244" s="9" t="s">
        <v>142</v>
      </c>
      <c r="T244" s="10" t="s">
        <v>10</v>
      </c>
      <c r="U244" s="11" t="s">
        <v>142</v>
      </c>
      <c r="V244" s="11" t="s">
        <v>142</v>
      </c>
      <c r="W244" s="41" t="s">
        <v>311</v>
      </c>
      <c r="X244" s="41" t="s">
        <v>309</v>
      </c>
      <c r="Z244" s="46"/>
      <c r="AA244" s="46"/>
      <c r="AB244" s="46"/>
    </row>
    <row r="245" spans="1:28" s="32" customFormat="1" ht="18" customHeight="1" x14ac:dyDescent="0.4">
      <c r="A245" s="33">
        <v>248</v>
      </c>
      <c r="B245" s="53" t="s">
        <v>176</v>
      </c>
      <c r="C245" s="5"/>
      <c r="D245" s="9"/>
      <c r="E245" s="88" t="s">
        <v>116</v>
      </c>
      <c r="F245" s="88">
        <v>4</v>
      </c>
      <c r="G245" s="29">
        <v>243</v>
      </c>
      <c r="H245" s="60">
        <v>0.52</v>
      </c>
      <c r="I245" s="65">
        <v>0.05</v>
      </c>
      <c r="J245" s="68">
        <v>162</v>
      </c>
      <c r="K245" s="68">
        <f t="shared" ref="K245:K250" si="217">+I245*J245</f>
        <v>8.1</v>
      </c>
      <c r="L245" s="68">
        <f>+J245+K245</f>
        <v>170.1</v>
      </c>
      <c r="M245" s="6">
        <v>180</v>
      </c>
      <c r="N245" s="6">
        <v>720</v>
      </c>
      <c r="O245" s="58">
        <v>0.05</v>
      </c>
      <c r="P245" s="51">
        <f t="shared" si="214"/>
        <v>685.71428571428544</v>
      </c>
      <c r="Q245" s="51">
        <f t="shared" si="215"/>
        <v>34.28571428571427</v>
      </c>
      <c r="R245" s="51">
        <f t="shared" si="216"/>
        <v>719.99999999999966</v>
      </c>
      <c r="S245" s="9" t="s">
        <v>142</v>
      </c>
      <c r="T245" s="10" t="s">
        <v>10</v>
      </c>
      <c r="U245" s="11" t="s">
        <v>142</v>
      </c>
      <c r="V245" s="11" t="s">
        <v>142</v>
      </c>
      <c r="W245" s="41" t="s">
        <v>311</v>
      </c>
      <c r="X245" s="41" t="s">
        <v>310</v>
      </c>
      <c r="Z245" s="46"/>
      <c r="AA245" s="46"/>
      <c r="AB245" s="46"/>
    </row>
    <row r="246" spans="1:28" s="32" customFormat="1" ht="18" customHeight="1" x14ac:dyDescent="0.4">
      <c r="A246" s="8">
        <v>249</v>
      </c>
      <c r="B246" s="13" t="s">
        <v>36</v>
      </c>
      <c r="C246" s="14" t="s">
        <v>35</v>
      </c>
      <c r="D246" s="9" t="s">
        <v>41</v>
      </c>
      <c r="E246" s="88" t="s">
        <v>116</v>
      </c>
      <c r="F246" s="88">
        <v>1</v>
      </c>
      <c r="G246" s="29">
        <v>5000</v>
      </c>
      <c r="H246" s="60">
        <v>0.52</v>
      </c>
      <c r="I246" s="65">
        <v>0.05</v>
      </c>
      <c r="J246" s="68">
        <v>2285.71</v>
      </c>
      <c r="K246" s="68">
        <f t="shared" si="217"/>
        <v>114.28550000000001</v>
      </c>
      <c r="L246" s="68">
        <f t="shared" ref="L246:L249" si="218">+J246+K246</f>
        <v>2399.9955</v>
      </c>
      <c r="M246" s="29">
        <v>3000</v>
      </c>
      <c r="N246" s="29">
        <v>3000</v>
      </c>
      <c r="O246" s="58">
        <v>0.05</v>
      </c>
      <c r="P246" s="51">
        <f>+N246*0.952380952380952</f>
        <v>2857.142857142856</v>
      </c>
      <c r="Q246" s="51">
        <f>+P246*5%</f>
        <v>142.8571428571428</v>
      </c>
      <c r="R246" s="51">
        <f t="shared" si="216"/>
        <v>2999.9999999999986</v>
      </c>
      <c r="S246" s="9" t="s">
        <v>234</v>
      </c>
      <c r="T246" s="10" t="s">
        <v>10</v>
      </c>
      <c r="U246" s="11" t="s">
        <v>234</v>
      </c>
      <c r="V246" s="36" t="s">
        <v>234</v>
      </c>
      <c r="W246" s="41" t="s">
        <v>312</v>
      </c>
      <c r="X246" s="41" t="s">
        <v>318</v>
      </c>
      <c r="Z246" s="46"/>
      <c r="AA246" s="46"/>
      <c r="AB246" s="46"/>
    </row>
    <row r="247" spans="1:28" s="32" customFormat="1" ht="18" customHeight="1" x14ac:dyDescent="0.4">
      <c r="A247" s="8">
        <v>250</v>
      </c>
      <c r="B247" s="53" t="s">
        <v>30</v>
      </c>
      <c r="C247" s="5" t="s">
        <v>32</v>
      </c>
      <c r="D247" s="9" t="s">
        <v>42</v>
      </c>
      <c r="E247" s="88" t="s">
        <v>116</v>
      </c>
      <c r="F247" s="88">
        <v>1</v>
      </c>
      <c r="G247" s="29">
        <v>1967</v>
      </c>
      <c r="H247" s="60">
        <v>0.52</v>
      </c>
      <c r="I247" s="65">
        <v>0.05</v>
      </c>
      <c r="J247" s="68">
        <v>899.2</v>
      </c>
      <c r="K247" s="68">
        <f t="shared" si="217"/>
        <v>44.960000000000008</v>
      </c>
      <c r="L247" s="68">
        <f t="shared" si="218"/>
        <v>944.16000000000008</v>
      </c>
      <c r="M247" s="29">
        <v>1180</v>
      </c>
      <c r="N247" s="29">
        <v>1180</v>
      </c>
      <c r="O247" s="58">
        <v>0.05</v>
      </c>
      <c r="P247" s="51">
        <f>+N247*0.952380952380952</f>
        <v>1123.8095238095234</v>
      </c>
      <c r="Q247" s="51">
        <f>+P247*5%</f>
        <v>56.190476190476176</v>
      </c>
      <c r="R247" s="51">
        <f t="shared" si="216"/>
        <v>1179.9999999999995</v>
      </c>
      <c r="S247" s="9" t="s">
        <v>315</v>
      </c>
      <c r="T247" s="10" t="s">
        <v>10</v>
      </c>
      <c r="U247" s="11" t="s">
        <v>184</v>
      </c>
      <c r="V247" s="36" t="s">
        <v>184</v>
      </c>
      <c r="W247" s="41"/>
      <c r="X247" s="41"/>
      <c r="Z247" s="46"/>
      <c r="AA247" s="46"/>
      <c r="AB247" s="46"/>
    </row>
    <row r="248" spans="1:28" s="32" customFormat="1" ht="18" customHeight="1" x14ac:dyDescent="0.4">
      <c r="A248" s="8">
        <v>251</v>
      </c>
      <c r="B248" s="53" t="s">
        <v>30</v>
      </c>
      <c r="C248" s="14" t="s">
        <v>31</v>
      </c>
      <c r="D248" s="9" t="s">
        <v>41</v>
      </c>
      <c r="E248" s="176" t="s">
        <v>316</v>
      </c>
      <c r="F248" s="176">
        <v>1</v>
      </c>
      <c r="G248" s="29">
        <v>1967</v>
      </c>
      <c r="H248" s="60">
        <v>0.52</v>
      </c>
      <c r="I248" s="65">
        <v>0.05</v>
      </c>
      <c r="J248" s="68">
        <v>899.2</v>
      </c>
      <c r="K248" s="68">
        <f t="shared" si="217"/>
        <v>44.960000000000008</v>
      </c>
      <c r="L248" s="68">
        <f t="shared" si="218"/>
        <v>944.16000000000008</v>
      </c>
      <c r="M248" s="6">
        <v>1377</v>
      </c>
      <c r="N248" s="6">
        <v>1377</v>
      </c>
      <c r="O248" s="58">
        <v>0.05</v>
      </c>
      <c r="P248" s="51">
        <f t="shared" ref="P248" si="219">+N248*0.952380952380952</f>
        <v>1311.4285714285709</v>
      </c>
      <c r="Q248" s="51">
        <f>+P248*5%</f>
        <v>65.571428571428541</v>
      </c>
      <c r="R248" s="51">
        <f t="shared" si="216"/>
        <v>1376.9999999999993</v>
      </c>
      <c r="S248" s="9" t="s">
        <v>129</v>
      </c>
      <c r="T248" s="10" t="s">
        <v>10</v>
      </c>
      <c r="U248" s="11" t="s">
        <v>317</v>
      </c>
      <c r="V248" s="36" t="s">
        <v>317</v>
      </c>
      <c r="W248" s="41" t="s">
        <v>349</v>
      </c>
      <c r="X248" s="41" t="s">
        <v>350</v>
      </c>
      <c r="Z248" s="46"/>
      <c r="AA248" s="46"/>
      <c r="AB248" s="46"/>
    </row>
    <row r="249" spans="1:28" s="32" customFormat="1" ht="18" customHeight="1" x14ac:dyDescent="0.4">
      <c r="A249" s="8">
        <v>252</v>
      </c>
      <c r="B249" s="5" t="s">
        <v>30</v>
      </c>
      <c r="C249" s="14" t="s">
        <v>31</v>
      </c>
      <c r="D249" s="9" t="s">
        <v>16</v>
      </c>
      <c r="E249" s="176" t="s">
        <v>175</v>
      </c>
      <c r="F249" s="176">
        <v>1</v>
      </c>
      <c r="G249" s="29">
        <v>1967</v>
      </c>
      <c r="H249" s="60">
        <v>0.52</v>
      </c>
      <c r="I249" s="65">
        <v>0.05</v>
      </c>
      <c r="J249" s="68">
        <v>899.2</v>
      </c>
      <c r="K249" s="68">
        <f t="shared" si="217"/>
        <v>44.960000000000008</v>
      </c>
      <c r="L249" s="68">
        <f t="shared" si="218"/>
        <v>944.16000000000008</v>
      </c>
      <c r="M249" s="6">
        <f>1377+43</f>
        <v>1420</v>
      </c>
      <c r="N249" s="6">
        <f>1377+43</f>
        <v>1420</v>
      </c>
      <c r="O249" s="58">
        <v>0.05</v>
      </c>
      <c r="P249" s="51">
        <f>+N249*0.952380952380952</f>
        <v>1352.3809523809518</v>
      </c>
      <c r="Q249" s="51">
        <f>+P249*5%</f>
        <v>67.619047619047592</v>
      </c>
      <c r="R249" s="51">
        <f t="shared" si="216"/>
        <v>1419.9999999999995</v>
      </c>
      <c r="S249" s="9" t="s">
        <v>50</v>
      </c>
      <c r="T249" s="10" t="s">
        <v>10</v>
      </c>
      <c r="U249" s="11" t="s">
        <v>50</v>
      </c>
      <c r="V249" s="36" t="s">
        <v>50</v>
      </c>
      <c r="W249" s="41" t="s">
        <v>312</v>
      </c>
      <c r="X249" s="41" t="s">
        <v>320</v>
      </c>
      <c r="Z249" s="46"/>
      <c r="AA249" s="46"/>
      <c r="AB249" s="46"/>
    </row>
    <row r="250" spans="1:28" s="32" customFormat="1" ht="18" customHeight="1" x14ac:dyDescent="0.4">
      <c r="A250" s="33">
        <v>253</v>
      </c>
      <c r="B250" s="53" t="s">
        <v>176</v>
      </c>
      <c r="C250" s="5"/>
      <c r="D250" s="9"/>
      <c r="E250" s="88" t="s">
        <v>116</v>
      </c>
      <c r="F250" s="88">
        <v>1</v>
      </c>
      <c r="G250" s="29">
        <v>243</v>
      </c>
      <c r="H250" s="60">
        <v>0.52</v>
      </c>
      <c r="I250" s="65">
        <v>0.05</v>
      </c>
      <c r="J250" s="68">
        <v>162</v>
      </c>
      <c r="K250" s="68">
        <f t="shared" si="217"/>
        <v>8.1</v>
      </c>
      <c r="L250" s="68">
        <f>+J250+K250</f>
        <v>170.1</v>
      </c>
      <c r="M250" s="6">
        <v>180</v>
      </c>
      <c r="N250" s="6">
        <v>180</v>
      </c>
      <c r="O250" s="58">
        <v>0.05</v>
      </c>
      <c r="P250" s="51">
        <f t="shared" ref="P250:P251" si="220">+N250*0.952380952380952</f>
        <v>171.42857142857136</v>
      </c>
      <c r="Q250" s="51">
        <f t="shared" ref="Q250:Q251" si="221">+P250*5%</f>
        <v>8.5714285714285676</v>
      </c>
      <c r="R250" s="51">
        <f t="shared" si="216"/>
        <v>179.99999999999991</v>
      </c>
      <c r="S250" s="9" t="s">
        <v>50</v>
      </c>
      <c r="T250" s="10" t="s">
        <v>10</v>
      </c>
      <c r="U250" s="11" t="s">
        <v>50</v>
      </c>
      <c r="V250" s="36" t="s">
        <v>50</v>
      </c>
      <c r="W250" s="41" t="s">
        <v>312</v>
      </c>
      <c r="X250" s="41" t="s">
        <v>320</v>
      </c>
      <c r="Z250" s="46"/>
      <c r="AA250" s="46"/>
      <c r="AB250" s="46"/>
    </row>
    <row r="251" spans="1:28" s="32" customFormat="1" ht="18" customHeight="1" x14ac:dyDescent="0.4">
      <c r="A251" s="33">
        <v>254</v>
      </c>
      <c r="B251" s="53" t="s">
        <v>322</v>
      </c>
      <c r="C251" s="5"/>
      <c r="D251" s="9"/>
      <c r="E251" s="88" t="s">
        <v>116</v>
      </c>
      <c r="F251" s="88">
        <v>4</v>
      </c>
      <c r="G251" s="29"/>
      <c r="H251" s="60"/>
      <c r="I251" s="65"/>
      <c r="J251" s="68"/>
      <c r="K251" s="68"/>
      <c r="L251" s="68"/>
      <c r="M251" s="6">
        <v>839</v>
      </c>
      <c r="N251" s="6">
        <v>839</v>
      </c>
      <c r="O251" s="58">
        <v>0.05</v>
      </c>
      <c r="P251" s="51">
        <f t="shared" si="220"/>
        <v>799.0476190476187</v>
      </c>
      <c r="Q251" s="51">
        <f t="shared" si="221"/>
        <v>39.952380952380935</v>
      </c>
      <c r="R251" s="51">
        <f t="shared" si="216"/>
        <v>838.99999999999966</v>
      </c>
      <c r="S251" s="9" t="s">
        <v>323</v>
      </c>
      <c r="T251" s="10" t="s">
        <v>7</v>
      </c>
      <c r="U251" s="9" t="s">
        <v>323</v>
      </c>
      <c r="V251" s="9" t="s">
        <v>323</v>
      </c>
      <c r="W251" s="41" t="s">
        <v>312</v>
      </c>
      <c r="X251" s="41" t="s">
        <v>324</v>
      </c>
      <c r="Z251" s="46"/>
      <c r="AA251" s="46"/>
      <c r="AB251" s="46"/>
    </row>
    <row r="252" spans="1:28" s="32" customFormat="1" ht="18" customHeight="1" x14ac:dyDescent="0.4">
      <c r="A252" s="138">
        <v>255</v>
      </c>
      <c r="B252" s="177" t="s">
        <v>36</v>
      </c>
      <c r="C252" s="177" t="s">
        <v>33</v>
      </c>
      <c r="D252" s="28" t="s">
        <v>41</v>
      </c>
      <c r="E252" s="135" t="s">
        <v>116</v>
      </c>
      <c r="F252" s="135">
        <v>1</v>
      </c>
      <c r="G252" s="29">
        <v>9000</v>
      </c>
      <c r="H252" s="136">
        <v>0.52</v>
      </c>
      <c r="I252" s="137">
        <v>0.18</v>
      </c>
      <c r="J252" s="70">
        <v>4320</v>
      </c>
      <c r="K252" s="70">
        <f>+I252*J252</f>
        <v>777.6</v>
      </c>
      <c r="L252" s="70">
        <f t="shared" ref="L252" si="222">+J252+K252</f>
        <v>5097.6000000000004</v>
      </c>
      <c r="M252" s="29">
        <v>5400</v>
      </c>
      <c r="N252" s="29">
        <v>5400</v>
      </c>
      <c r="O252" s="71">
        <v>0.18</v>
      </c>
      <c r="P252" s="52">
        <f>+N252*0.847457627118644</f>
        <v>4576.2711864406774</v>
      </c>
      <c r="Q252" s="52">
        <f>+P252*18%</f>
        <v>823.72881355932191</v>
      </c>
      <c r="R252" s="52">
        <f>+P252+Q252</f>
        <v>5399.9999999999991</v>
      </c>
      <c r="S252" s="28" t="s">
        <v>85</v>
      </c>
      <c r="T252" s="30" t="s">
        <v>7</v>
      </c>
      <c r="U252" s="31" t="s">
        <v>85</v>
      </c>
      <c r="V252" s="28" t="s">
        <v>85</v>
      </c>
      <c r="W252" s="41" t="s">
        <v>349</v>
      </c>
      <c r="X252" s="41" t="s">
        <v>326</v>
      </c>
      <c r="Z252" s="46"/>
      <c r="AA252" s="46"/>
      <c r="AB252" s="46"/>
    </row>
    <row r="253" spans="1:28" s="32" customFormat="1" ht="18" customHeight="1" x14ac:dyDescent="0.4">
      <c r="A253" s="138">
        <v>256</v>
      </c>
      <c r="B253" s="5" t="s">
        <v>30</v>
      </c>
      <c r="C253" s="12" t="s">
        <v>34</v>
      </c>
      <c r="D253" s="28" t="s">
        <v>41</v>
      </c>
      <c r="E253" s="135" t="s">
        <v>175</v>
      </c>
      <c r="F253" s="135">
        <v>1</v>
      </c>
      <c r="G253" s="29">
        <v>4500</v>
      </c>
      <c r="H253" s="136">
        <v>0.52</v>
      </c>
      <c r="I253" s="137">
        <v>0.05</v>
      </c>
      <c r="J253" s="70">
        <v>2057.1419999999998</v>
      </c>
      <c r="K253" s="70">
        <f>+I253*J253</f>
        <v>102.8571</v>
      </c>
      <c r="L253" s="70">
        <f>+J253+K253</f>
        <v>2159.9991</v>
      </c>
      <c r="M253" s="29">
        <v>2600</v>
      </c>
      <c r="N253" s="29">
        <v>2600</v>
      </c>
      <c r="O253" s="71">
        <v>0.05</v>
      </c>
      <c r="P253" s="52">
        <f t="shared" ref="P253" si="223">+N253*0.952380952380952</f>
        <v>2476.1904761904752</v>
      </c>
      <c r="Q253" s="52">
        <f t="shared" ref="Q253" si="224">+P253*5%</f>
        <v>123.80952380952377</v>
      </c>
      <c r="R253" s="52">
        <f t="shared" ref="R253" si="225">+P253+Q253</f>
        <v>2599.9999999999991</v>
      </c>
      <c r="S253" s="28" t="s">
        <v>85</v>
      </c>
      <c r="T253" s="30" t="s">
        <v>7</v>
      </c>
      <c r="U253" s="31" t="s">
        <v>85</v>
      </c>
      <c r="V253" s="28" t="s">
        <v>85</v>
      </c>
      <c r="W253" s="41" t="s">
        <v>349</v>
      </c>
      <c r="X253" s="41" t="s">
        <v>326</v>
      </c>
      <c r="Z253" s="46"/>
      <c r="AA253" s="46"/>
      <c r="AB253" s="46"/>
    </row>
    <row r="254" spans="1:28" s="32" customFormat="1" ht="18" customHeight="1" x14ac:dyDescent="0.4">
      <c r="A254" s="27">
        <v>257</v>
      </c>
      <c r="B254" s="5" t="s">
        <v>30</v>
      </c>
      <c r="C254" s="5" t="s">
        <v>112</v>
      </c>
      <c r="D254" s="28" t="s">
        <v>45</v>
      </c>
      <c r="E254" s="135" t="s">
        <v>116</v>
      </c>
      <c r="F254" s="135">
        <v>1</v>
      </c>
      <c r="G254" s="29">
        <v>2999</v>
      </c>
      <c r="H254" s="136">
        <v>0.52</v>
      </c>
      <c r="I254" s="137">
        <v>0.05</v>
      </c>
      <c r="J254" s="70">
        <v>1370.97</v>
      </c>
      <c r="K254" s="70">
        <f>+I254*J254</f>
        <v>68.548500000000004</v>
      </c>
      <c r="L254" s="70">
        <f>+J254+K254</f>
        <v>1439.5185000000001</v>
      </c>
      <c r="M254" s="29">
        <v>1800</v>
      </c>
      <c r="N254" s="29">
        <v>1800</v>
      </c>
      <c r="O254" s="71">
        <v>0.05</v>
      </c>
      <c r="P254" s="52">
        <f t="shared" ref="P254" si="226">+N254*0.952380952380952</f>
        <v>1714.2857142857135</v>
      </c>
      <c r="Q254" s="52">
        <f t="shared" ref="Q254" si="227">+P254*5%</f>
        <v>85.71428571428568</v>
      </c>
      <c r="R254" s="52">
        <f t="shared" ref="R254:R255" si="228">+P254+Q254</f>
        <v>1799.9999999999993</v>
      </c>
      <c r="S254" s="28" t="s">
        <v>325</v>
      </c>
      <c r="T254" s="30" t="s">
        <v>7</v>
      </c>
      <c r="U254" s="31" t="s">
        <v>325</v>
      </c>
      <c r="V254" s="28" t="s">
        <v>325</v>
      </c>
      <c r="W254" s="41" t="s">
        <v>349</v>
      </c>
      <c r="X254" s="41" t="s">
        <v>327</v>
      </c>
      <c r="Z254" s="46"/>
      <c r="AA254" s="46"/>
      <c r="AB254" s="46"/>
    </row>
    <row r="255" spans="1:28" s="32" customFormat="1" ht="18" customHeight="1" x14ac:dyDescent="0.4">
      <c r="A255" s="27">
        <v>258</v>
      </c>
      <c r="B255" s="177" t="s">
        <v>36</v>
      </c>
      <c r="C255" s="177" t="s">
        <v>90</v>
      </c>
      <c r="D255" s="28" t="s">
        <v>16</v>
      </c>
      <c r="E255" s="135" t="s">
        <v>175</v>
      </c>
      <c r="F255" s="135">
        <v>1</v>
      </c>
      <c r="G255" s="29">
        <v>8010</v>
      </c>
      <c r="H255" s="136">
        <v>0.52</v>
      </c>
      <c r="I255" s="137">
        <v>0.18</v>
      </c>
      <c r="J255" s="70">
        <v>3258.31</v>
      </c>
      <c r="K255" s="70">
        <f>+I255*J255</f>
        <v>586.49579999999992</v>
      </c>
      <c r="L255" s="70">
        <f t="shared" ref="L255:L258" si="229">+J255+K255</f>
        <v>3844.8058000000001</v>
      </c>
      <c r="M255" s="29">
        <v>4806</v>
      </c>
      <c r="N255" s="29">
        <v>4806</v>
      </c>
      <c r="O255" s="71">
        <v>0.18</v>
      </c>
      <c r="P255" s="52">
        <f>+N255*0.847457627118644</f>
        <v>4072.8813559322034</v>
      </c>
      <c r="Q255" s="52">
        <f>+P255*18%</f>
        <v>733.11864406779659</v>
      </c>
      <c r="R255" s="52">
        <f t="shared" si="228"/>
        <v>4806</v>
      </c>
      <c r="S255" s="28" t="s">
        <v>234</v>
      </c>
      <c r="T255" s="30" t="s">
        <v>7</v>
      </c>
      <c r="U255" s="31" t="s">
        <v>234</v>
      </c>
      <c r="V255" s="38" t="s">
        <v>234</v>
      </c>
      <c r="W255" s="41" t="s">
        <v>349</v>
      </c>
      <c r="X255" s="41" t="s">
        <v>328</v>
      </c>
      <c r="Z255" s="46"/>
      <c r="AA255" s="46"/>
      <c r="AB255" s="46"/>
    </row>
    <row r="256" spans="1:28" s="32" customFormat="1" ht="18" customHeight="1" x14ac:dyDescent="0.4">
      <c r="A256" s="8">
        <v>259</v>
      </c>
      <c r="B256" s="53" t="s">
        <v>36</v>
      </c>
      <c r="C256" s="5" t="s">
        <v>52</v>
      </c>
      <c r="D256" s="9" t="s">
        <v>41</v>
      </c>
      <c r="E256" s="88" t="s">
        <v>175</v>
      </c>
      <c r="F256" s="88">
        <v>1</v>
      </c>
      <c r="G256" s="29">
        <v>7011</v>
      </c>
      <c r="H256" s="60">
        <v>0.52</v>
      </c>
      <c r="I256" s="65">
        <v>0.18</v>
      </c>
      <c r="J256" s="68">
        <v>2851.93</v>
      </c>
      <c r="K256" s="68">
        <f t="shared" ref="K256:K258" si="230">+I256*J256</f>
        <v>513.34739999999999</v>
      </c>
      <c r="L256" s="68">
        <f t="shared" si="229"/>
        <v>3365.2773999999999</v>
      </c>
      <c r="M256" s="6">
        <v>4557</v>
      </c>
      <c r="N256" s="6">
        <v>4557</v>
      </c>
      <c r="O256" s="58">
        <v>0.18</v>
      </c>
      <c r="P256" s="51">
        <f>+N256*0.847457627118644</f>
        <v>3861.8644067796608</v>
      </c>
      <c r="Q256" s="51">
        <f>+P256*18%</f>
        <v>695.13559322033893</v>
      </c>
      <c r="R256" s="51">
        <f t="shared" ref="R256:R263" si="231">+P256+Q256</f>
        <v>4557</v>
      </c>
      <c r="S256" s="9" t="s">
        <v>329</v>
      </c>
      <c r="T256" s="10" t="s">
        <v>10</v>
      </c>
      <c r="U256" s="11" t="s">
        <v>329</v>
      </c>
      <c r="V256" s="36" t="s">
        <v>152</v>
      </c>
      <c r="W256" s="41" t="s">
        <v>351</v>
      </c>
      <c r="X256" s="41"/>
      <c r="Z256" s="46"/>
      <c r="AA256" s="46"/>
      <c r="AB256" s="46"/>
    </row>
    <row r="257" spans="1:28" s="32" customFormat="1" ht="18" customHeight="1" x14ac:dyDescent="0.4">
      <c r="A257" s="8">
        <v>260</v>
      </c>
      <c r="B257" s="53" t="s">
        <v>36</v>
      </c>
      <c r="C257" s="5" t="s">
        <v>52</v>
      </c>
      <c r="D257" s="9" t="s">
        <v>16</v>
      </c>
      <c r="E257" s="88" t="s">
        <v>175</v>
      </c>
      <c r="F257" s="88">
        <v>1</v>
      </c>
      <c r="G257" s="29">
        <v>7011</v>
      </c>
      <c r="H257" s="60">
        <v>0.52</v>
      </c>
      <c r="I257" s="65">
        <v>0.18</v>
      </c>
      <c r="J257" s="68">
        <v>2851.93</v>
      </c>
      <c r="K257" s="68">
        <f t="shared" si="230"/>
        <v>513.34739999999999</v>
      </c>
      <c r="L257" s="68">
        <f t="shared" si="229"/>
        <v>3365.2773999999999</v>
      </c>
      <c r="M257" s="6">
        <v>4557</v>
      </c>
      <c r="N257" s="6">
        <v>4557</v>
      </c>
      <c r="O257" s="58">
        <v>0.18</v>
      </c>
      <c r="P257" s="51">
        <f>+N257*0.847457627118644</f>
        <v>3861.8644067796608</v>
      </c>
      <c r="Q257" s="51">
        <f>+P257*18%</f>
        <v>695.13559322033893</v>
      </c>
      <c r="R257" s="51">
        <f t="shared" si="231"/>
        <v>4557</v>
      </c>
      <c r="S257" s="9" t="s">
        <v>329</v>
      </c>
      <c r="T257" s="10" t="s">
        <v>10</v>
      </c>
      <c r="U257" s="11" t="s">
        <v>330</v>
      </c>
      <c r="V257" s="36" t="s">
        <v>152</v>
      </c>
      <c r="W257" s="41" t="s">
        <v>351</v>
      </c>
      <c r="X257" s="41"/>
      <c r="Z257" s="46"/>
      <c r="AA257" s="46"/>
      <c r="AB257" s="46"/>
    </row>
    <row r="258" spans="1:28" s="32" customFormat="1" ht="18" customHeight="1" x14ac:dyDescent="0.4">
      <c r="A258" s="8">
        <v>261</v>
      </c>
      <c r="B258" s="53" t="s">
        <v>339</v>
      </c>
      <c r="C258" s="5" t="s">
        <v>340</v>
      </c>
      <c r="D258" s="9" t="s">
        <v>4</v>
      </c>
      <c r="E258" s="88" t="s">
        <v>341</v>
      </c>
      <c r="F258" s="88">
        <v>1</v>
      </c>
      <c r="G258" s="29">
        <v>2999</v>
      </c>
      <c r="H258" s="60">
        <v>0.52</v>
      </c>
      <c r="I258" s="65">
        <v>0.05</v>
      </c>
      <c r="J258" s="68">
        <v>1370.97</v>
      </c>
      <c r="K258" s="68">
        <f t="shared" si="230"/>
        <v>68.548500000000004</v>
      </c>
      <c r="L258" s="68">
        <f t="shared" si="229"/>
        <v>1439.5185000000001</v>
      </c>
      <c r="M258" s="6">
        <v>1439.52</v>
      </c>
      <c r="N258" s="6">
        <v>1439.52</v>
      </c>
      <c r="O258" s="58">
        <v>0.05</v>
      </c>
      <c r="P258" s="51">
        <f t="shared" ref="P258:P263" si="232">+N258*0.952380952380952</f>
        <v>1370.9714285714281</v>
      </c>
      <c r="Q258" s="51">
        <f t="shared" ref="Q258:Q263" si="233">+P258*5%</f>
        <v>68.548571428571407</v>
      </c>
      <c r="R258" s="51">
        <f t="shared" si="231"/>
        <v>1439.5199999999995</v>
      </c>
      <c r="S258" s="9" t="s">
        <v>157</v>
      </c>
      <c r="T258" s="10" t="s">
        <v>10</v>
      </c>
      <c r="U258" s="11"/>
      <c r="V258" s="36"/>
      <c r="W258" s="41"/>
      <c r="X258" s="41"/>
      <c r="Z258" s="46"/>
      <c r="AA258" s="46"/>
      <c r="AB258" s="46"/>
    </row>
    <row r="259" spans="1:28" s="32" customFormat="1" ht="18" customHeight="1" x14ac:dyDescent="0.4">
      <c r="A259" s="8">
        <v>262</v>
      </c>
      <c r="B259" s="53" t="s">
        <v>339</v>
      </c>
      <c r="C259" s="5" t="s">
        <v>340</v>
      </c>
      <c r="D259" s="9" t="s">
        <v>42</v>
      </c>
      <c r="E259" s="88" t="s">
        <v>341</v>
      </c>
      <c r="F259" s="88">
        <v>1</v>
      </c>
      <c r="G259" s="29">
        <v>2999</v>
      </c>
      <c r="H259" s="60">
        <v>0.52</v>
      </c>
      <c r="I259" s="65">
        <v>0.05</v>
      </c>
      <c r="J259" s="68">
        <v>1370.97</v>
      </c>
      <c r="K259" s="68">
        <f t="shared" ref="K259:K260" si="234">+I259*J259</f>
        <v>68.548500000000004</v>
      </c>
      <c r="L259" s="68">
        <f t="shared" ref="L259:L261" si="235">+J259+K259</f>
        <v>1439.5185000000001</v>
      </c>
      <c r="M259" s="6">
        <v>1439.52</v>
      </c>
      <c r="N259" s="6">
        <v>1439.52</v>
      </c>
      <c r="O259" s="58">
        <v>0.05</v>
      </c>
      <c r="P259" s="51">
        <f t="shared" si="232"/>
        <v>1370.9714285714281</v>
      </c>
      <c r="Q259" s="51">
        <f t="shared" si="233"/>
        <v>68.548571428571407</v>
      </c>
      <c r="R259" s="51">
        <f t="shared" si="231"/>
        <v>1439.5199999999995</v>
      </c>
      <c r="S259" s="9" t="s">
        <v>342</v>
      </c>
      <c r="T259" s="10" t="s">
        <v>10</v>
      </c>
      <c r="U259" s="11"/>
      <c r="V259" s="36"/>
      <c r="W259" s="41"/>
      <c r="X259" s="41"/>
      <c r="Z259" s="46"/>
      <c r="AA259" s="46"/>
      <c r="AB259" s="46"/>
    </row>
    <row r="260" spans="1:28" s="32" customFormat="1" ht="18" customHeight="1" x14ac:dyDescent="0.4">
      <c r="A260" s="33">
        <v>263</v>
      </c>
      <c r="B260" s="53" t="s">
        <v>281</v>
      </c>
      <c r="C260" s="5" t="s">
        <v>285</v>
      </c>
      <c r="D260" s="9" t="s">
        <v>20</v>
      </c>
      <c r="E260" s="88" t="s">
        <v>341</v>
      </c>
      <c r="F260" s="88">
        <v>1</v>
      </c>
      <c r="G260" s="29">
        <v>6500</v>
      </c>
      <c r="H260" s="60">
        <v>0.52</v>
      </c>
      <c r="I260" s="65">
        <v>0.18</v>
      </c>
      <c r="J260" s="68">
        <v>2644.07</v>
      </c>
      <c r="K260" s="68">
        <f t="shared" si="234"/>
        <v>475.93260000000004</v>
      </c>
      <c r="L260" s="68">
        <f t="shared" si="235"/>
        <v>3120.0026000000003</v>
      </c>
      <c r="M260" s="6">
        <v>3120</v>
      </c>
      <c r="N260" s="6">
        <v>3120</v>
      </c>
      <c r="O260" s="58">
        <v>0.18</v>
      </c>
      <c r="P260" s="51">
        <f t="shared" ref="P260" si="236">+N260*0.952380952380952</f>
        <v>2971.4285714285702</v>
      </c>
      <c r="Q260" s="51">
        <f t="shared" ref="Q260" si="237">+P260*5%</f>
        <v>148.57142857142853</v>
      </c>
      <c r="R260" s="51">
        <f t="shared" ref="R260" si="238">+P260+Q260</f>
        <v>3119.9999999999986</v>
      </c>
      <c r="S260" s="9" t="s">
        <v>343</v>
      </c>
      <c r="T260" s="10" t="s">
        <v>10</v>
      </c>
      <c r="U260" s="11"/>
      <c r="V260" s="36"/>
      <c r="W260" s="41"/>
      <c r="X260" s="41"/>
      <c r="Z260" s="46"/>
      <c r="AA260" s="46"/>
      <c r="AB260" s="46"/>
    </row>
    <row r="261" spans="1:28" s="32" customFormat="1" ht="18" customHeight="1" x14ac:dyDescent="0.4">
      <c r="A261" s="33">
        <v>264</v>
      </c>
      <c r="B261" s="13" t="s">
        <v>36</v>
      </c>
      <c r="C261" s="13" t="s">
        <v>33</v>
      </c>
      <c r="D261" s="9" t="s">
        <v>16</v>
      </c>
      <c r="E261" s="88" t="s">
        <v>341</v>
      </c>
      <c r="F261" s="88">
        <v>1</v>
      </c>
      <c r="G261" s="29">
        <v>9000</v>
      </c>
      <c r="H261" s="60">
        <v>0.52</v>
      </c>
      <c r="I261" s="65">
        <v>0.18</v>
      </c>
      <c r="J261" s="68">
        <v>4320</v>
      </c>
      <c r="K261" s="68">
        <f t="shared" ref="K261:K282" si="239">+I261*J261</f>
        <v>777.6</v>
      </c>
      <c r="L261" s="68">
        <f t="shared" si="235"/>
        <v>5097.6000000000004</v>
      </c>
      <c r="M261" s="6">
        <v>5097.6000000000004</v>
      </c>
      <c r="N261" s="6">
        <v>5097.6000000000004</v>
      </c>
      <c r="O261" s="58">
        <v>0.18</v>
      </c>
      <c r="P261" s="51">
        <f t="shared" ref="P261" si="240">+N261*0.952380952380952</f>
        <v>4854.8571428571413</v>
      </c>
      <c r="Q261" s="51">
        <f t="shared" ref="Q261" si="241">+P261*5%</f>
        <v>242.74285714285708</v>
      </c>
      <c r="R261" s="51">
        <f t="shared" ref="R261" si="242">+P261+Q261</f>
        <v>5097.5999999999985</v>
      </c>
      <c r="S261" s="9" t="s">
        <v>343</v>
      </c>
      <c r="T261" s="10" t="s">
        <v>10</v>
      </c>
      <c r="U261" s="11"/>
      <c r="V261" s="36"/>
      <c r="W261" s="41"/>
      <c r="X261" s="41"/>
      <c r="Z261" s="46"/>
      <c r="AA261" s="46"/>
      <c r="AB261" s="46"/>
    </row>
    <row r="262" spans="1:28" s="32" customFormat="1" ht="18" customHeight="1" x14ac:dyDescent="0.4">
      <c r="A262" s="8">
        <v>265</v>
      </c>
      <c r="B262" s="53" t="s">
        <v>30</v>
      </c>
      <c r="C262" s="14" t="s">
        <v>34</v>
      </c>
      <c r="D262" s="9" t="s">
        <v>9</v>
      </c>
      <c r="E262" s="88" t="s">
        <v>175</v>
      </c>
      <c r="F262" s="88">
        <v>1</v>
      </c>
      <c r="G262" s="29">
        <v>4500</v>
      </c>
      <c r="H262" s="60">
        <v>0.52</v>
      </c>
      <c r="I262" s="65">
        <v>0.05</v>
      </c>
      <c r="J262" s="68">
        <v>2057.1419999999998</v>
      </c>
      <c r="K262" s="68">
        <f t="shared" si="239"/>
        <v>102.8571</v>
      </c>
      <c r="L262" s="68">
        <f t="shared" ref="L262:L282" si="243">+J262+K262</f>
        <v>2159.9991</v>
      </c>
      <c r="M262" s="6">
        <v>2700</v>
      </c>
      <c r="N262" s="6">
        <f t="shared" ref="N262:N282" si="244">M262*F262</f>
        <v>2700</v>
      </c>
      <c r="O262" s="58">
        <v>0.05</v>
      </c>
      <c r="P262" s="51">
        <f t="shared" ref="P262" si="245">+N262*0.952380952380952</f>
        <v>2571.4285714285702</v>
      </c>
      <c r="Q262" s="51">
        <f t="shared" ref="Q262" si="246">+P262*5%</f>
        <v>128.57142857142853</v>
      </c>
      <c r="R262" s="51">
        <f t="shared" ref="R262" si="247">+P262+Q262</f>
        <v>2699.9999999999986</v>
      </c>
      <c r="S262" s="9" t="s">
        <v>331</v>
      </c>
      <c r="T262" s="10" t="s">
        <v>10</v>
      </c>
      <c r="U262" s="11" t="s">
        <v>332</v>
      </c>
      <c r="V262" s="9"/>
      <c r="W262" s="41" t="s">
        <v>359</v>
      </c>
      <c r="X262" s="41"/>
      <c r="Z262" s="46"/>
      <c r="AA262" s="46"/>
      <c r="AB262" s="46"/>
    </row>
    <row r="263" spans="1:28" s="32" customFormat="1" ht="18" customHeight="1" x14ac:dyDescent="0.4">
      <c r="A263" s="8">
        <v>266</v>
      </c>
      <c r="B263" s="53" t="s">
        <v>30</v>
      </c>
      <c r="C263" s="14" t="s">
        <v>34</v>
      </c>
      <c r="D263" s="9" t="s">
        <v>42</v>
      </c>
      <c r="E263" s="88" t="s">
        <v>175</v>
      </c>
      <c r="F263" s="88">
        <v>3</v>
      </c>
      <c r="G263" s="29">
        <v>4500</v>
      </c>
      <c r="H263" s="60">
        <v>0.52</v>
      </c>
      <c r="I263" s="65">
        <v>0.05</v>
      </c>
      <c r="J263" s="68">
        <v>2057.1419999999998</v>
      </c>
      <c r="K263" s="68">
        <f t="shared" si="239"/>
        <v>102.8571</v>
      </c>
      <c r="L263" s="68">
        <f t="shared" si="243"/>
        <v>2159.9991</v>
      </c>
      <c r="M263" s="6">
        <v>2700</v>
      </c>
      <c r="N263" s="6">
        <f t="shared" si="244"/>
        <v>8100</v>
      </c>
      <c r="O263" s="58">
        <v>0.05</v>
      </c>
      <c r="P263" s="51">
        <f t="shared" si="232"/>
        <v>7714.285714285711</v>
      </c>
      <c r="Q263" s="51">
        <f t="shared" si="233"/>
        <v>385.71428571428555</v>
      </c>
      <c r="R263" s="51">
        <f t="shared" si="231"/>
        <v>8099.9999999999964</v>
      </c>
      <c r="S263" s="9" t="s">
        <v>331</v>
      </c>
      <c r="T263" s="10" t="s">
        <v>10</v>
      </c>
      <c r="U263" s="11" t="s">
        <v>332</v>
      </c>
      <c r="V263" s="9"/>
      <c r="W263" s="41" t="s">
        <v>359</v>
      </c>
      <c r="X263" s="41"/>
      <c r="Z263" s="46"/>
      <c r="AA263" s="46"/>
      <c r="AB263" s="46"/>
    </row>
    <row r="264" spans="1:28" s="32" customFormat="1" ht="18" customHeight="1" x14ac:dyDescent="0.4">
      <c r="A264" s="33">
        <v>267</v>
      </c>
      <c r="B264" s="53" t="s">
        <v>30</v>
      </c>
      <c r="C264" s="14" t="s">
        <v>34</v>
      </c>
      <c r="D264" s="9" t="s">
        <v>41</v>
      </c>
      <c r="E264" s="88" t="s">
        <v>175</v>
      </c>
      <c r="F264" s="88">
        <v>3</v>
      </c>
      <c r="G264" s="29">
        <v>4500</v>
      </c>
      <c r="H264" s="60">
        <v>0.52</v>
      </c>
      <c r="I264" s="65">
        <v>0.05</v>
      </c>
      <c r="J264" s="68">
        <v>2057.1419999999998</v>
      </c>
      <c r="K264" s="68">
        <f t="shared" si="239"/>
        <v>102.8571</v>
      </c>
      <c r="L264" s="68">
        <f t="shared" si="243"/>
        <v>2159.9991</v>
      </c>
      <c r="M264" s="6">
        <v>2700</v>
      </c>
      <c r="N264" s="6">
        <f t="shared" si="244"/>
        <v>8100</v>
      </c>
      <c r="O264" s="58">
        <v>0.05</v>
      </c>
      <c r="P264" s="51">
        <f t="shared" ref="P264" si="248">+N264*0.952380952380952</f>
        <v>7714.285714285711</v>
      </c>
      <c r="Q264" s="51">
        <f t="shared" ref="Q264" si="249">+P264*5%</f>
        <v>385.71428571428555</v>
      </c>
      <c r="R264" s="51">
        <f t="shared" ref="R264" si="250">+P264+Q264</f>
        <v>8099.9999999999964</v>
      </c>
      <c r="S264" s="9" t="s">
        <v>331</v>
      </c>
      <c r="T264" s="10" t="s">
        <v>10</v>
      </c>
      <c r="U264" s="11" t="s">
        <v>332</v>
      </c>
      <c r="V264" s="9"/>
      <c r="W264" s="41" t="s">
        <v>359</v>
      </c>
      <c r="X264" s="41"/>
      <c r="Z264" s="46"/>
      <c r="AA264" s="46"/>
      <c r="AB264" s="46"/>
    </row>
    <row r="265" spans="1:28" s="32" customFormat="1" ht="18" customHeight="1" x14ac:dyDescent="0.4">
      <c r="A265" s="33">
        <v>268</v>
      </c>
      <c r="B265" s="53" t="s">
        <v>30</v>
      </c>
      <c r="C265" s="14" t="s">
        <v>34</v>
      </c>
      <c r="D265" s="9" t="s">
        <v>20</v>
      </c>
      <c r="E265" s="88" t="s">
        <v>175</v>
      </c>
      <c r="F265" s="88">
        <v>3</v>
      </c>
      <c r="G265" s="29">
        <v>4500</v>
      </c>
      <c r="H265" s="60">
        <v>0.52</v>
      </c>
      <c r="I265" s="65">
        <v>0.05</v>
      </c>
      <c r="J265" s="68">
        <v>2057.1419999999998</v>
      </c>
      <c r="K265" s="68">
        <f t="shared" si="239"/>
        <v>102.8571</v>
      </c>
      <c r="L265" s="68">
        <f t="shared" si="243"/>
        <v>2159.9991</v>
      </c>
      <c r="M265" s="6">
        <v>2700</v>
      </c>
      <c r="N265" s="6">
        <f t="shared" si="244"/>
        <v>8100</v>
      </c>
      <c r="O265" s="58">
        <v>0.05</v>
      </c>
      <c r="P265" s="51">
        <f t="shared" ref="P265" si="251">+N265*0.952380952380952</f>
        <v>7714.285714285711</v>
      </c>
      <c r="Q265" s="51">
        <f t="shared" ref="Q265" si="252">+P265*5%</f>
        <v>385.71428571428555</v>
      </c>
      <c r="R265" s="51">
        <f t="shared" ref="R265" si="253">+P265+Q265</f>
        <v>8099.9999999999964</v>
      </c>
      <c r="S265" s="9" t="s">
        <v>331</v>
      </c>
      <c r="T265" s="10" t="s">
        <v>10</v>
      </c>
      <c r="U265" s="11" t="s">
        <v>332</v>
      </c>
      <c r="V265" s="9"/>
      <c r="W265" s="41" t="s">
        <v>359</v>
      </c>
      <c r="X265" s="41"/>
      <c r="Z265" s="46"/>
      <c r="AA265" s="46"/>
      <c r="AB265" s="46"/>
    </row>
    <row r="266" spans="1:28" s="32" customFormat="1" ht="18" customHeight="1" x14ac:dyDescent="0.4">
      <c r="A266" s="8">
        <v>269</v>
      </c>
      <c r="B266" s="53" t="s">
        <v>30</v>
      </c>
      <c r="C266" s="14" t="s">
        <v>34</v>
      </c>
      <c r="D266" s="9" t="s">
        <v>16</v>
      </c>
      <c r="E266" s="88" t="s">
        <v>175</v>
      </c>
      <c r="F266" s="88">
        <v>4</v>
      </c>
      <c r="G266" s="29">
        <v>4500</v>
      </c>
      <c r="H266" s="60">
        <v>0.52</v>
      </c>
      <c r="I266" s="65">
        <v>0.05</v>
      </c>
      <c r="J266" s="68">
        <v>2057.1419999999998</v>
      </c>
      <c r="K266" s="68">
        <f t="shared" si="239"/>
        <v>102.8571</v>
      </c>
      <c r="L266" s="68">
        <f t="shared" si="243"/>
        <v>2159.9991</v>
      </c>
      <c r="M266" s="6">
        <v>2700</v>
      </c>
      <c r="N266" s="6">
        <f t="shared" si="244"/>
        <v>10800</v>
      </c>
      <c r="O266" s="58">
        <v>0.05</v>
      </c>
      <c r="P266" s="51">
        <f t="shared" ref="P266" si="254">+N266*0.952380952380952</f>
        <v>10285.714285714281</v>
      </c>
      <c r="Q266" s="51">
        <f t="shared" ref="Q266" si="255">+P266*5%</f>
        <v>514.28571428571411</v>
      </c>
      <c r="R266" s="51">
        <f t="shared" ref="R266" si="256">+P266+Q266</f>
        <v>10799.999999999995</v>
      </c>
      <c r="S266" s="9" t="s">
        <v>331</v>
      </c>
      <c r="T266" s="10" t="s">
        <v>10</v>
      </c>
      <c r="U266" s="11" t="s">
        <v>332</v>
      </c>
      <c r="V266" s="9"/>
      <c r="W266" s="41" t="s">
        <v>359</v>
      </c>
      <c r="X266" s="41"/>
      <c r="Z266" s="46"/>
      <c r="AA266" s="46"/>
      <c r="AB266" s="46"/>
    </row>
    <row r="267" spans="1:28" s="32" customFormat="1" ht="18" customHeight="1" x14ac:dyDescent="0.4">
      <c r="A267" s="8">
        <v>270</v>
      </c>
      <c r="B267" s="53" t="s">
        <v>30</v>
      </c>
      <c r="C267" s="14" t="s">
        <v>34</v>
      </c>
      <c r="D267" s="9" t="s">
        <v>18</v>
      </c>
      <c r="E267" s="88" t="s">
        <v>175</v>
      </c>
      <c r="F267" s="88">
        <v>1</v>
      </c>
      <c r="G267" s="29">
        <v>4500</v>
      </c>
      <c r="H267" s="60">
        <v>0.52</v>
      </c>
      <c r="I267" s="65">
        <v>0.05</v>
      </c>
      <c r="J267" s="68">
        <v>2057.1419999999998</v>
      </c>
      <c r="K267" s="68">
        <f t="shared" si="239"/>
        <v>102.8571</v>
      </c>
      <c r="L267" s="68">
        <f t="shared" si="243"/>
        <v>2159.9991</v>
      </c>
      <c r="M267" s="6">
        <v>2700</v>
      </c>
      <c r="N267" s="6">
        <f t="shared" si="244"/>
        <v>2700</v>
      </c>
      <c r="O267" s="58">
        <v>0.05</v>
      </c>
      <c r="P267" s="51">
        <f t="shared" ref="P267:P268" si="257">+N267*0.952380952380952</f>
        <v>2571.4285714285702</v>
      </c>
      <c r="Q267" s="51">
        <f t="shared" ref="Q267:Q268" si="258">+P267*5%</f>
        <v>128.57142857142853</v>
      </c>
      <c r="R267" s="51">
        <f t="shared" ref="R267:R268" si="259">+P267+Q267</f>
        <v>2699.9999999999986</v>
      </c>
      <c r="S267" s="9" t="s">
        <v>331</v>
      </c>
      <c r="T267" s="10" t="s">
        <v>10</v>
      </c>
      <c r="U267" s="11" t="s">
        <v>332</v>
      </c>
      <c r="V267" s="36"/>
      <c r="W267" s="41" t="s">
        <v>359</v>
      </c>
      <c r="X267" s="41"/>
      <c r="Z267" s="46"/>
      <c r="AA267" s="46"/>
      <c r="AB267" s="46"/>
    </row>
    <row r="268" spans="1:28" s="32" customFormat="1" ht="18" customHeight="1" x14ac:dyDescent="0.4">
      <c r="A268" s="8">
        <v>271</v>
      </c>
      <c r="B268" s="53" t="s">
        <v>30</v>
      </c>
      <c r="C268" s="14" t="s">
        <v>39</v>
      </c>
      <c r="D268" s="9" t="s">
        <v>42</v>
      </c>
      <c r="E268" s="88" t="s">
        <v>175</v>
      </c>
      <c r="F268" s="88">
        <v>2</v>
      </c>
      <c r="G268" s="29">
        <v>4590</v>
      </c>
      <c r="H268" s="60">
        <v>0.52</v>
      </c>
      <c r="I268" s="65">
        <v>0.05</v>
      </c>
      <c r="J268" s="68">
        <v>2057.1419999999998</v>
      </c>
      <c r="K268" s="68">
        <f t="shared" si="239"/>
        <v>102.8571</v>
      </c>
      <c r="L268" s="68">
        <f t="shared" si="243"/>
        <v>2159.9991</v>
      </c>
      <c r="M268" s="6">
        <v>2754</v>
      </c>
      <c r="N268" s="6">
        <f t="shared" si="244"/>
        <v>5508</v>
      </c>
      <c r="O268" s="58">
        <v>0.05</v>
      </c>
      <c r="P268" s="51">
        <f t="shared" si="257"/>
        <v>5245.7142857142835</v>
      </c>
      <c r="Q268" s="51">
        <f t="shared" si="258"/>
        <v>262.28571428571416</v>
      </c>
      <c r="R268" s="51">
        <f t="shared" si="259"/>
        <v>5507.9999999999973</v>
      </c>
      <c r="S268" s="9" t="s">
        <v>331</v>
      </c>
      <c r="T268" s="10" t="s">
        <v>10</v>
      </c>
      <c r="U268" s="11" t="s">
        <v>333</v>
      </c>
      <c r="V268" s="9"/>
      <c r="W268" s="41" t="s">
        <v>359</v>
      </c>
      <c r="X268" s="41"/>
      <c r="Z268" s="46"/>
      <c r="AA268" s="46"/>
      <c r="AB268" s="46"/>
    </row>
    <row r="269" spans="1:28" s="32" customFormat="1" ht="18" customHeight="1" x14ac:dyDescent="0.4">
      <c r="A269" s="8">
        <v>272</v>
      </c>
      <c r="B269" s="53" t="s">
        <v>30</v>
      </c>
      <c r="C269" s="14" t="s">
        <v>39</v>
      </c>
      <c r="D269" s="9" t="s">
        <v>41</v>
      </c>
      <c r="E269" s="88" t="s">
        <v>175</v>
      </c>
      <c r="F269" s="88">
        <v>4</v>
      </c>
      <c r="G269" s="29">
        <v>4590</v>
      </c>
      <c r="H269" s="60">
        <v>0.52</v>
      </c>
      <c r="I269" s="65">
        <v>0.05</v>
      </c>
      <c r="J269" s="68">
        <v>2057.1419999999998</v>
      </c>
      <c r="K269" s="68">
        <f t="shared" si="239"/>
        <v>102.8571</v>
      </c>
      <c r="L269" s="68">
        <f t="shared" si="243"/>
        <v>2159.9991</v>
      </c>
      <c r="M269" s="6">
        <v>2754</v>
      </c>
      <c r="N269" s="6">
        <f t="shared" si="244"/>
        <v>11016</v>
      </c>
      <c r="O269" s="58">
        <v>0.05</v>
      </c>
      <c r="P269" s="51">
        <f t="shared" ref="P269" si="260">+N269*0.952380952380952</f>
        <v>10491.428571428567</v>
      </c>
      <c r="Q269" s="51">
        <f t="shared" ref="Q269" si="261">+P269*5%</f>
        <v>524.57142857142833</v>
      </c>
      <c r="R269" s="51">
        <f t="shared" ref="R269" si="262">+P269+Q269</f>
        <v>11015.999999999995</v>
      </c>
      <c r="S269" s="9" t="s">
        <v>331</v>
      </c>
      <c r="T269" s="10" t="s">
        <v>10</v>
      </c>
      <c r="U269" s="11" t="s">
        <v>333</v>
      </c>
      <c r="V269" s="9"/>
      <c r="W269" s="41" t="s">
        <v>359</v>
      </c>
      <c r="X269" s="41"/>
      <c r="Z269" s="46"/>
      <c r="AA269" s="46"/>
      <c r="AB269" s="46"/>
    </row>
    <row r="270" spans="1:28" s="32" customFormat="1" ht="18" customHeight="1" x14ac:dyDescent="0.4">
      <c r="A270" s="33">
        <v>273</v>
      </c>
      <c r="B270" s="53" t="s">
        <v>30</v>
      </c>
      <c r="C270" s="14" t="s">
        <v>39</v>
      </c>
      <c r="D270" s="9" t="s">
        <v>20</v>
      </c>
      <c r="E270" s="88" t="s">
        <v>175</v>
      </c>
      <c r="F270" s="88">
        <v>4</v>
      </c>
      <c r="G270" s="29">
        <v>4590</v>
      </c>
      <c r="H270" s="60">
        <v>0.52</v>
      </c>
      <c r="I270" s="65">
        <v>0.05</v>
      </c>
      <c r="J270" s="68">
        <v>2057.1419999999998</v>
      </c>
      <c r="K270" s="68">
        <f t="shared" si="239"/>
        <v>102.8571</v>
      </c>
      <c r="L270" s="68">
        <f t="shared" si="243"/>
        <v>2159.9991</v>
      </c>
      <c r="M270" s="6">
        <v>2754</v>
      </c>
      <c r="N270" s="6">
        <f t="shared" si="244"/>
        <v>11016</v>
      </c>
      <c r="O270" s="58">
        <v>0.05</v>
      </c>
      <c r="P270" s="51">
        <f t="shared" ref="P270" si="263">+N270*0.952380952380952</f>
        <v>10491.428571428567</v>
      </c>
      <c r="Q270" s="51">
        <f t="shared" ref="Q270" si="264">+P270*5%</f>
        <v>524.57142857142833</v>
      </c>
      <c r="R270" s="51">
        <f t="shared" ref="R270" si="265">+P270+Q270</f>
        <v>11015.999999999995</v>
      </c>
      <c r="S270" s="9" t="s">
        <v>331</v>
      </c>
      <c r="T270" s="10" t="s">
        <v>10</v>
      </c>
      <c r="U270" s="11" t="s">
        <v>333</v>
      </c>
      <c r="V270" s="9"/>
      <c r="W270" s="41" t="s">
        <v>359</v>
      </c>
      <c r="X270" s="41"/>
      <c r="Z270" s="46"/>
      <c r="AA270" s="46"/>
      <c r="AB270" s="46"/>
    </row>
    <row r="271" spans="1:28" s="32" customFormat="1" ht="18" customHeight="1" x14ac:dyDescent="0.4">
      <c r="A271" s="33">
        <v>274</v>
      </c>
      <c r="B271" s="53" t="s">
        <v>30</v>
      </c>
      <c r="C271" s="14" t="s">
        <v>39</v>
      </c>
      <c r="D271" s="9" t="s">
        <v>16</v>
      </c>
      <c r="E271" s="88" t="s">
        <v>175</v>
      </c>
      <c r="F271" s="88">
        <v>2</v>
      </c>
      <c r="G271" s="29">
        <v>4590</v>
      </c>
      <c r="H271" s="60">
        <v>0.52</v>
      </c>
      <c r="I271" s="65">
        <v>0.05</v>
      </c>
      <c r="J271" s="68">
        <v>2057.1419999999998</v>
      </c>
      <c r="K271" s="68">
        <f t="shared" si="239"/>
        <v>102.8571</v>
      </c>
      <c r="L271" s="68">
        <f t="shared" si="243"/>
        <v>2159.9991</v>
      </c>
      <c r="M271" s="6">
        <v>2754</v>
      </c>
      <c r="N271" s="6">
        <f t="shared" si="244"/>
        <v>5508</v>
      </c>
      <c r="O271" s="58">
        <v>0.05</v>
      </c>
      <c r="P271" s="51">
        <f t="shared" ref="P271:P272" si="266">+N271*0.952380952380952</f>
        <v>5245.7142857142835</v>
      </c>
      <c r="Q271" s="51">
        <f t="shared" ref="Q271:Q272" si="267">+P271*5%</f>
        <v>262.28571428571416</v>
      </c>
      <c r="R271" s="51">
        <f t="shared" ref="R271:R272" si="268">+P271+Q271</f>
        <v>5507.9999999999973</v>
      </c>
      <c r="S271" s="9" t="s">
        <v>331</v>
      </c>
      <c r="T271" s="10" t="s">
        <v>10</v>
      </c>
      <c r="U271" s="11" t="s">
        <v>333</v>
      </c>
      <c r="V271" s="9"/>
      <c r="W271" s="41" t="s">
        <v>359</v>
      </c>
      <c r="X271" s="41"/>
      <c r="Z271" s="46"/>
      <c r="AA271" s="46"/>
      <c r="AB271" s="46"/>
    </row>
    <row r="272" spans="1:28" s="32" customFormat="1" ht="18" customHeight="1" x14ac:dyDescent="0.4">
      <c r="A272" s="8">
        <v>275</v>
      </c>
      <c r="B272" s="53" t="s">
        <v>30</v>
      </c>
      <c r="C272" s="14" t="s">
        <v>39</v>
      </c>
      <c r="D272" s="9" t="s">
        <v>41</v>
      </c>
      <c r="E272" s="176" t="s">
        <v>334</v>
      </c>
      <c r="F272" s="176">
        <v>2</v>
      </c>
      <c r="G272" s="29">
        <v>4590</v>
      </c>
      <c r="H272" s="60">
        <v>0.56000000000000005</v>
      </c>
      <c r="I272" s="65">
        <v>0.05</v>
      </c>
      <c r="J272" s="68">
        <v>1923.43</v>
      </c>
      <c r="K272" s="68">
        <f t="shared" si="239"/>
        <v>96.171500000000009</v>
      </c>
      <c r="L272" s="68">
        <f t="shared" si="243"/>
        <v>2019.6015</v>
      </c>
      <c r="M272" s="6">
        <v>2754</v>
      </c>
      <c r="N272" s="6">
        <f t="shared" si="244"/>
        <v>5508</v>
      </c>
      <c r="O272" s="58">
        <v>0.05</v>
      </c>
      <c r="P272" s="51">
        <f t="shared" si="266"/>
        <v>5245.7142857142835</v>
      </c>
      <c r="Q272" s="51">
        <f t="shared" si="267"/>
        <v>262.28571428571416</v>
      </c>
      <c r="R272" s="51">
        <f t="shared" si="268"/>
        <v>5507.9999999999973</v>
      </c>
      <c r="S272" s="9" t="s">
        <v>331</v>
      </c>
      <c r="T272" s="10" t="s">
        <v>10</v>
      </c>
      <c r="U272" s="11" t="s">
        <v>333</v>
      </c>
      <c r="V272" s="9"/>
      <c r="W272" s="41" t="s">
        <v>359</v>
      </c>
      <c r="X272" s="41"/>
      <c r="Z272" s="46"/>
      <c r="AA272" s="46"/>
      <c r="AB272" s="46"/>
    </row>
    <row r="273" spans="1:28" s="32" customFormat="1" ht="18" customHeight="1" x14ac:dyDescent="0.4">
      <c r="A273" s="8">
        <v>276</v>
      </c>
      <c r="B273" s="53" t="s">
        <v>30</v>
      </c>
      <c r="C273" s="14" t="s">
        <v>39</v>
      </c>
      <c r="D273" s="9" t="s">
        <v>20</v>
      </c>
      <c r="E273" s="176" t="s">
        <v>334</v>
      </c>
      <c r="F273" s="176">
        <v>3</v>
      </c>
      <c r="G273" s="29">
        <v>4590</v>
      </c>
      <c r="H273" s="60">
        <v>0.56000000000000005</v>
      </c>
      <c r="I273" s="65">
        <v>0.05</v>
      </c>
      <c r="J273" s="68">
        <v>1923.43</v>
      </c>
      <c r="K273" s="68">
        <f t="shared" si="239"/>
        <v>96.171500000000009</v>
      </c>
      <c r="L273" s="68">
        <f t="shared" si="243"/>
        <v>2019.6015</v>
      </c>
      <c r="M273" s="6">
        <v>2754</v>
      </c>
      <c r="N273" s="6">
        <f t="shared" si="244"/>
        <v>8262</v>
      </c>
      <c r="O273" s="58">
        <v>0.05</v>
      </c>
      <c r="P273" s="51">
        <f t="shared" ref="P273" si="269">+N273*0.952380952380952</f>
        <v>7868.5714285714257</v>
      </c>
      <c r="Q273" s="51">
        <f t="shared" ref="Q273" si="270">+P273*5%</f>
        <v>393.42857142857133</v>
      </c>
      <c r="R273" s="51">
        <f t="shared" ref="R273" si="271">+P273+Q273</f>
        <v>8261.9999999999964</v>
      </c>
      <c r="S273" s="9" t="s">
        <v>331</v>
      </c>
      <c r="T273" s="10" t="s">
        <v>10</v>
      </c>
      <c r="U273" s="11" t="s">
        <v>333</v>
      </c>
      <c r="V273" s="9"/>
      <c r="W273" s="41" t="s">
        <v>359</v>
      </c>
      <c r="X273" s="41"/>
      <c r="Z273" s="46"/>
      <c r="AA273" s="46"/>
      <c r="AB273" s="46"/>
    </row>
    <row r="274" spans="1:28" s="32" customFormat="1" ht="18" customHeight="1" x14ac:dyDescent="0.4">
      <c r="A274" s="33">
        <v>277</v>
      </c>
      <c r="B274" s="53" t="s">
        <v>30</v>
      </c>
      <c r="C274" s="14" t="s">
        <v>39</v>
      </c>
      <c r="D274" s="9" t="s">
        <v>16</v>
      </c>
      <c r="E274" s="176" t="s">
        <v>334</v>
      </c>
      <c r="F274" s="176">
        <v>2</v>
      </c>
      <c r="G274" s="29">
        <v>4590</v>
      </c>
      <c r="H274" s="60">
        <v>0.56000000000000005</v>
      </c>
      <c r="I274" s="65">
        <v>0.05</v>
      </c>
      <c r="J274" s="68">
        <v>1923.43</v>
      </c>
      <c r="K274" s="68">
        <f t="shared" si="239"/>
        <v>96.171500000000009</v>
      </c>
      <c r="L274" s="68">
        <f t="shared" si="243"/>
        <v>2019.6015</v>
      </c>
      <c r="M274" s="6">
        <v>2754</v>
      </c>
      <c r="N274" s="6">
        <f t="shared" si="244"/>
        <v>5508</v>
      </c>
      <c r="O274" s="58">
        <v>0.05</v>
      </c>
      <c r="P274" s="51">
        <f t="shared" ref="P274:P277" si="272">+N274*0.952380952380952</f>
        <v>5245.7142857142835</v>
      </c>
      <c r="Q274" s="51">
        <f t="shared" ref="Q274:Q277" si="273">+P274*5%</f>
        <v>262.28571428571416</v>
      </c>
      <c r="R274" s="51">
        <f t="shared" ref="R274:R277" si="274">+P274+Q274</f>
        <v>5507.9999999999973</v>
      </c>
      <c r="S274" s="9" t="s">
        <v>331</v>
      </c>
      <c r="T274" s="10" t="s">
        <v>10</v>
      </c>
      <c r="U274" s="11" t="s">
        <v>333</v>
      </c>
      <c r="V274" s="9"/>
      <c r="W274" s="41" t="s">
        <v>359</v>
      </c>
      <c r="X274" s="41"/>
      <c r="Z274" s="46"/>
      <c r="AA274" s="46"/>
      <c r="AB274" s="46"/>
    </row>
    <row r="275" spans="1:28" s="32" customFormat="1" ht="18" customHeight="1" x14ac:dyDescent="0.4">
      <c r="A275" s="8">
        <v>278</v>
      </c>
      <c r="B275" s="53" t="s">
        <v>96</v>
      </c>
      <c r="C275" s="5" t="s">
        <v>165</v>
      </c>
      <c r="D275" s="9" t="s">
        <v>18</v>
      </c>
      <c r="E275" s="88" t="s">
        <v>175</v>
      </c>
      <c r="F275" s="88">
        <v>1</v>
      </c>
      <c r="G275" s="29">
        <v>2799</v>
      </c>
      <c r="H275" s="60">
        <v>0.52</v>
      </c>
      <c r="I275" s="65">
        <v>0.05</v>
      </c>
      <c r="J275" s="68">
        <v>1279.54</v>
      </c>
      <c r="K275" s="68">
        <f t="shared" si="239"/>
        <v>63.977000000000004</v>
      </c>
      <c r="L275" s="68">
        <f t="shared" si="243"/>
        <v>1343.5170000000001</v>
      </c>
      <c r="M275" s="6">
        <v>1680</v>
      </c>
      <c r="N275" s="6">
        <v>1680</v>
      </c>
      <c r="O275" s="58">
        <v>0.05</v>
      </c>
      <c r="P275" s="51">
        <f t="shared" si="272"/>
        <v>1599.9999999999993</v>
      </c>
      <c r="Q275" s="51">
        <f t="shared" si="273"/>
        <v>79.999999999999972</v>
      </c>
      <c r="R275" s="51">
        <f t="shared" si="274"/>
        <v>1679.9999999999993</v>
      </c>
      <c r="S275" s="9" t="s">
        <v>331</v>
      </c>
      <c r="T275" s="10" t="s">
        <v>10</v>
      </c>
      <c r="U275" s="11" t="s">
        <v>333</v>
      </c>
      <c r="V275" s="11"/>
      <c r="W275" s="41" t="s">
        <v>359</v>
      </c>
      <c r="X275" s="41"/>
      <c r="Z275" s="46"/>
      <c r="AA275" s="46"/>
      <c r="AB275" s="46"/>
    </row>
    <row r="276" spans="1:28" s="32" customFormat="1" ht="18" customHeight="1" x14ac:dyDescent="0.4">
      <c r="A276" s="8">
        <v>279</v>
      </c>
      <c r="B276" s="53" t="s">
        <v>96</v>
      </c>
      <c r="C276" s="5" t="s">
        <v>348</v>
      </c>
      <c r="D276" s="9" t="s">
        <v>16</v>
      </c>
      <c r="E276" s="88" t="s">
        <v>175</v>
      </c>
      <c r="F276" s="88">
        <v>1</v>
      </c>
      <c r="G276" s="29">
        <v>2799</v>
      </c>
      <c r="H276" s="60">
        <v>0.52</v>
      </c>
      <c r="I276" s="65">
        <v>0.05</v>
      </c>
      <c r="J276" s="68">
        <v>1279.54</v>
      </c>
      <c r="K276" s="68">
        <f t="shared" ref="K276" si="275">+I276*J276</f>
        <v>63.977000000000004</v>
      </c>
      <c r="L276" s="68">
        <f t="shared" ref="L276" si="276">+J276+K276</f>
        <v>1343.5170000000001</v>
      </c>
      <c r="M276" s="6">
        <v>1680</v>
      </c>
      <c r="N276" s="6">
        <v>1680</v>
      </c>
      <c r="O276" s="58">
        <v>0.05</v>
      </c>
      <c r="P276" s="51">
        <f t="shared" ref="P276" si="277">+N276*0.952380952380952</f>
        <v>1599.9999999999993</v>
      </c>
      <c r="Q276" s="51">
        <f t="shared" ref="Q276" si="278">+P276*5%</f>
        <v>79.999999999999972</v>
      </c>
      <c r="R276" s="51">
        <f t="shared" ref="R276" si="279">+P276+Q276</f>
        <v>1679.9999999999993</v>
      </c>
      <c r="S276" s="9" t="s">
        <v>331</v>
      </c>
      <c r="T276" s="10" t="s">
        <v>10</v>
      </c>
      <c r="U276" s="11" t="s">
        <v>333</v>
      </c>
      <c r="V276" s="11"/>
      <c r="W276" s="41" t="s">
        <v>359</v>
      </c>
      <c r="X276" s="41"/>
      <c r="Z276" s="46"/>
      <c r="AA276" s="46"/>
      <c r="AB276" s="46"/>
    </row>
    <row r="277" spans="1:28" s="32" customFormat="1" ht="18" customHeight="1" x14ac:dyDescent="0.4">
      <c r="A277" s="8">
        <v>280</v>
      </c>
      <c r="B277" s="53" t="s">
        <v>30</v>
      </c>
      <c r="C277" s="14" t="s">
        <v>39</v>
      </c>
      <c r="D277" s="9" t="s">
        <v>20</v>
      </c>
      <c r="E277" s="88" t="s">
        <v>175</v>
      </c>
      <c r="F277" s="88">
        <v>5</v>
      </c>
      <c r="G277" s="29">
        <v>4590</v>
      </c>
      <c r="H277" s="60">
        <v>0.52</v>
      </c>
      <c r="I277" s="65">
        <v>0.05</v>
      </c>
      <c r="J277" s="68">
        <v>2057.1419999999998</v>
      </c>
      <c r="K277" s="68">
        <f t="shared" si="239"/>
        <v>102.8571</v>
      </c>
      <c r="L277" s="68">
        <f t="shared" si="243"/>
        <v>2159.9991</v>
      </c>
      <c r="M277" s="6">
        <v>2754</v>
      </c>
      <c r="N277" s="6">
        <f t="shared" si="244"/>
        <v>13770</v>
      </c>
      <c r="O277" s="58">
        <v>0.05</v>
      </c>
      <c r="P277" s="51">
        <f t="shared" si="272"/>
        <v>13114.285714285708</v>
      </c>
      <c r="Q277" s="51">
        <f t="shared" si="273"/>
        <v>655.71428571428544</v>
      </c>
      <c r="R277" s="51">
        <f t="shared" si="274"/>
        <v>13769.999999999995</v>
      </c>
      <c r="S277" s="9" t="s">
        <v>331</v>
      </c>
      <c r="T277" s="10" t="s">
        <v>10</v>
      </c>
      <c r="U277" s="11" t="s">
        <v>335</v>
      </c>
      <c r="V277" s="9"/>
      <c r="W277" s="41" t="s">
        <v>359</v>
      </c>
      <c r="X277" s="41"/>
      <c r="Z277" s="46"/>
      <c r="AA277" s="46"/>
      <c r="AB277" s="46"/>
    </row>
    <row r="278" spans="1:28" s="32" customFormat="1" ht="18" customHeight="1" x14ac:dyDescent="0.4">
      <c r="A278" s="33">
        <v>281</v>
      </c>
      <c r="B278" s="53" t="s">
        <v>30</v>
      </c>
      <c r="C278" s="14" t="s">
        <v>39</v>
      </c>
      <c r="D278" s="9" t="s">
        <v>16</v>
      </c>
      <c r="E278" s="88" t="s">
        <v>175</v>
      </c>
      <c r="F278" s="88">
        <v>5</v>
      </c>
      <c r="G278" s="29">
        <v>4590</v>
      </c>
      <c r="H278" s="60">
        <v>0.52</v>
      </c>
      <c r="I278" s="65">
        <v>0.05</v>
      </c>
      <c r="J278" s="68">
        <v>2057.1419999999998</v>
      </c>
      <c r="K278" s="68">
        <f t="shared" si="239"/>
        <v>102.8571</v>
      </c>
      <c r="L278" s="68">
        <f t="shared" si="243"/>
        <v>2159.9991</v>
      </c>
      <c r="M278" s="6">
        <v>2754</v>
      </c>
      <c r="N278" s="6">
        <f t="shared" si="244"/>
        <v>13770</v>
      </c>
      <c r="O278" s="58">
        <v>0.05</v>
      </c>
      <c r="P278" s="51">
        <f t="shared" ref="P278" si="280">+N278*0.952380952380952</f>
        <v>13114.285714285708</v>
      </c>
      <c r="Q278" s="51">
        <f t="shared" ref="Q278" si="281">+P278*5%</f>
        <v>655.71428571428544</v>
      </c>
      <c r="R278" s="51">
        <f t="shared" ref="R278" si="282">+P278+Q278</f>
        <v>13769.999999999995</v>
      </c>
      <c r="S278" s="9" t="s">
        <v>331</v>
      </c>
      <c r="T278" s="10" t="s">
        <v>10</v>
      </c>
      <c r="U278" s="11" t="s">
        <v>335</v>
      </c>
      <c r="V278" s="9"/>
      <c r="W278" s="41" t="s">
        <v>359</v>
      </c>
      <c r="X278" s="41"/>
      <c r="Z278" s="46"/>
      <c r="AA278" s="46"/>
      <c r="AB278" s="46"/>
    </row>
    <row r="279" spans="1:28" s="32" customFormat="1" ht="18" customHeight="1" x14ac:dyDescent="0.4">
      <c r="A279" s="33">
        <v>282</v>
      </c>
      <c r="B279" s="53" t="s">
        <v>30</v>
      </c>
      <c r="C279" s="14" t="s">
        <v>39</v>
      </c>
      <c r="D279" s="9" t="s">
        <v>18</v>
      </c>
      <c r="E279" s="88" t="s">
        <v>175</v>
      </c>
      <c r="F279" s="88">
        <v>2</v>
      </c>
      <c r="G279" s="29">
        <v>4590</v>
      </c>
      <c r="H279" s="60">
        <v>0.52</v>
      </c>
      <c r="I279" s="65">
        <v>0.05</v>
      </c>
      <c r="J279" s="68">
        <v>2057.1419999999998</v>
      </c>
      <c r="K279" s="68">
        <f t="shared" si="239"/>
        <v>102.8571</v>
      </c>
      <c r="L279" s="68">
        <f t="shared" si="243"/>
        <v>2159.9991</v>
      </c>
      <c r="M279" s="6">
        <v>2754</v>
      </c>
      <c r="N279" s="6">
        <f t="shared" si="244"/>
        <v>5508</v>
      </c>
      <c r="O279" s="58">
        <v>0.05</v>
      </c>
      <c r="P279" s="51">
        <f t="shared" ref="P279:P280" si="283">+N279*0.952380952380952</f>
        <v>5245.7142857142835</v>
      </c>
      <c r="Q279" s="51">
        <f t="shared" ref="Q279:Q280" si="284">+P279*5%</f>
        <v>262.28571428571416</v>
      </c>
      <c r="R279" s="51">
        <f t="shared" ref="R279:R280" si="285">+P279+Q279</f>
        <v>5507.9999999999973</v>
      </c>
      <c r="S279" s="9" t="s">
        <v>331</v>
      </c>
      <c r="T279" s="10" t="s">
        <v>10</v>
      </c>
      <c r="U279" s="11" t="s">
        <v>335</v>
      </c>
      <c r="V279" s="9"/>
      <c r="W279" s="41" t="s">
        <v>359</v>
      </c>
      <c r="X279" s="41"/>
      <c r="Z279" s="46"/>
      <c r="AA279" s="46"/>
      <c r="AB279" s="46"/>
    </row>
    <row r="280" spans="1:28" s="32" customFormat="1" ht="18" customHeight="1" x14ac:dyDescent="0.4">
      <c r="A280" s="8">
        <v>283</v>
      </c>
      <c r="B280" s="53" t="s">
        <v>30</v>
      </c>
      <c r="C280" s="14" t="s">
        <v>39</v>
      </c>
      <c r="D280" s="9" t="s">
        <v>41</v>
      </c>
      <c r="E280" s="176" t="s">
        <v>334</v>
      </c>
      <c r="F280" s="176">
        <v>2</v>
      </c>
      <c r="G280" s="29">
        <v>4590</v>
      </c>
      <c r="H280" s="60">
        <v>0.56000000000000005</v>
      </c>
      <c r="I280" s="65">
        <v>0.05</v>
      </c>
      <c r="J280" s="68">
        <v>1923.43</v>
      </c>
      <c r="K280" s="68">
        <f t="shared" si="239"/>
        <v>96.171500000000009</v>
      </c>
      <c r="L280" s="68">
        <f t="shared" si="243"/>
        <v>2019.6015</v>
      </c>
      <c r="M280" s="6">
        <v>2754</v>
      </c>
      <c r="N280" s="6">
        <f t="shared" si="244"/>
        <v>5508</v>
      </c>
      <c r="O280" s="58">
        <v>0.05</v>
      </c>
      <c r="P280" s="51">
        <f t="shared" si="283"/>
        <v>5245.7142857142835</v>
      </c>
      <c r="Q280" s="51">
        <f t="shared" si="284"/>
        <v>262.28571428571416</v>
      </c>
      <c r="R280" s="51">
        <f t="shared" si="285"/>
        <v>5507.9999999999973</v>
      </c>
      <c r="S280" s="9" t="s">
        <v>331</v>
      </c>
      <c r="T280" s="10" t="s">
        <v>10</v>
      </c>
      <c r="U280" s="11" t="s">
        <v>335</v>
      </c>
      <c r="V280" s="9"/>
      <c r="W280" s="41" t="s">
        <v>359</v>
      </c>
      <c r="X280" s="41"/>
      <c r="Z280" s="46"/>
      <c r="AA280" s="46"/>
      <c r="AB280" s="46"/>
    </row>
    <row r="281" spans="1:28" s="32" customFormat="1" ht="18" customHeight="1" x14ac:dyDescent="0.4">
      <c r="A281" s="8">
        <v>284</v>
      </c>
      <c r="B281" s="53" t="s">
        <v>30</v>
      </c>
      <c r="C281" s="14" t="s">
        <v>39</v>
      </c>
      <c r="D281" s="9" t="s">
        <v>20</v>
      </c>
      <c r="E281" s="176" t="s">
        <v>334</v>
      </c>
      <c r="F281" s="176">
        <v>1</v>
      </c>
      <c r="G281" s="29">
        <v>4590</v>
      </c>
      <c r="H281" s="60">
        <v>0.56000000000000005</v>
      </c>
      <c r="I281" s="65">
        <v>0.05</v>
      </c>
      <c r="J281" s="68">
        <v>1923.43</v>
      </c>
      <c r="K281" s="68">
        <f t="shared" si="239"/>
        <v>96.171500000000009</v>
      </c>
      <c r="L281" s="68">
        <f t="shared" si="243"/>
        <v>2019.6015</v>
      </c>
      <c r="M281" s="6">
        <v>2754</v>
      </c>
      <c r="N281" s="6">
        <f t="shared" si="244"/>
        <v>2754</v>
      </c>
      <c r="O281" s="58">
        <v>0.05</v>
      </c>
      <c r="P281" s="51">
        <f t="shared" ref="P281:P283" si="286">+N281*0.952380952380952</f>
        <v>2622.8571428571418</v>
      </c>
      <c r="Q281" s="51">
        <f t="shared" ref="Q281:Q283" si="287">+P281*5%</f>
        <v>131.14285714285708</v>
      </c>
      <c r="R281" s="51">
        <f t="shared" ref="R281:R289" si="288">+P281+Q281</f>
        <v>2753.9999999999986</v>
      </c>
      <c r="S281" s="9" t="s">
        <v>331</v>
      </c>
      <c r="T281" s="10" t="s">
        <v>10</v>
      </c>
      <c r="U281" s="11" t="s">
        <v>335</v>
      </c>
      <c r="V281" s="9"/>
      <c r="W281" s="41" t="s">
        <v>359</v>
      </c>
      <c r="X281" s="41"/>
      <c r="Z281" s="46"/>
      <c r="AA281" s="46"/>
      <c r="AB281" s="46"/>
    </row>
    <row r="282" spans="1:28" s="32" customFormat="1" ht="18" customHeight="1" x14ac:dyDescent="0.4">
      <c r="A282" s="33">
        <v>285</v>
      </c>
      <c r="B282" s="53" t="s">
        <v>336</v>
      </c>
      <c r="C282" s="53" t="s">
        <v>337</v>
      </c>
      <c r="D282" s="9"/>
      <c r="E282" s="176"/>
      <c r="F282" s="176">
        <v>50</v>
      </c>
      <c r="G282" s="29">
        <v>254.54</v>
      </c>
      <c r="H282" s="60">
        <v>0.55000000000000004</v>
      </c>
      <c r="I282" s="65">
        <v>0.18</v>
      </c>
      <c r="J282" s="68">
        <v>118.64</v>
      </c>
      <c r="K282" s="68">
        <f t="shared" si="239"/>
        <v>21.3552</v>
      </c>
      <c r="L282" s="68">
        <f t="shared" si="243"/>
        <v>139.99520000000001</v>
      </c>
      <c r="M282" s="6">
        <v>153</v>
      </c>
      <c r="N282" s="6">
        <f t="shared" si="244"/>
        <v>7650</v>
      </c>
      <c r="O282" s="58">
        <v>0.18</v>
      </c>
      <c r="P282" s="51">
        <f t="shared" si="286"/>
        <v>7285.7142857142826</v>
      </c>
      <c r="Q282" s="51">
        <f t="shared" si="287"/>
        <v>364.28571428571416</v>
      </c>
      <c r="R282" s="51">
        <f t="shared" si="288"/>
        <v>7649.9999999999964</v>
      </c>
      <c r="S282" s="9" t="s">
        <v>331</v>
      </c>
      <c r="T282" s="10" t="s">
        <v>10</v>
      </c>
      <c r="U282" s="11" t="s">
        <v>338</v>
      </c>
      <c r="V282" s="37"/>
      <c r="W282" s="41" t="s">
        <v>359</v>
      </c>
      <c r="X282" s="41"/>
      <c r="Z282" s="46"/>
      <c r="AA282" s="46"/>
      <c r="AB282" s="46"/>
    </row>
    <row r="283" spans="1:28" s="32" customFormat="1" ht="18" customHeight="1" x14ac:dyDescent="0.4">
      <c r="A283" s="8">
        <v>286</v>
      </c>
      <c r="B283" s="53" t="s">
        <v>30</v>
      </c>
      <c r="C283" s="14" t="s">
        <v>34</v>
      </c>
      <c r="D283" s="9" t="s">
        <v>20</v>
      </c>
      <c r="E283" s="88" t="s">
        <v>175</v>
      </c>
      <c r="F283" s="88">
        <v>1</v>
      </c>
      <c r="G283" s="29">
        <v>4500</v>
      </c>
      <c r="H283" s="60">
        <v>0.52</v>
      </c>
      <c r="I283" s="65">
        <v>0.05</v>
      </c>
      <c r="J283" s="68">
        <v>2057.1419999999998</v>
      </c>
      <c r="K283" s="68">
        <f>+I283*J283</f>
        <v>102.8571</v>
      </c>
      <c r="L283" s="68">
        <f>+J283+K283</f>
        <v>2159.9991</v>
      </c>
      <c r="M283" s="6">
        <v>2600</v>
      </c>
      <c r="N283" s="6">
        <v>2600</v>
      </c>
      <c r="O283" s="58">
        <v>0.05</v>
      </c>
      <c r="P283" s="51">
        <f t="shared" si="286"/>
        <v>2476.1904761904752</v>
      </c>
      <c r="Q283" s="51">
        <f t="shared" si="287"/>
        <v>123.80952380952377</v>
      </c>
      <c r="R283" s="51">
        <f t="shared" si="288"/>
        <v>2599.9999999999991</v>
      </c>
      <c r="S283" s="9" t="s">
        <v>344</v>
      </c>
      <c r="T283" s="10" t="s">
        <v>10</v>
      </c>
      <c r="U283" s="11" t="s">
        <v>85</v>
      </c>
      <c r="V283" s="9" t="s">
        <v>85</v>
      </c>
      <c r="W283" s="41"/>
      <c r="X283" s="41"/>
      <c r="Z283" s="46"/>
      <c r="AA283" s="46"/>
      <c r="AB283" s="46"/>
    </row>
    <row r="284" spans="1:28" s="32" customFormat="1" ht="18" customHeight="1" x14ac:dyDescent="0.4">
      <c r="A284" s="8">
        <v>287</v>
      </c>
      <c r="B284" s="13" t="s">
        <v>36</v>
      </c>
      <c r="C284" s="14" t="s">
        <v>35</v>
      </c>
      <c r="D284" s="9" t="s">
        <v>16</v>
      </c>
      <c r="E284" s="88" t="s">
        <v>175</v>
      </c>
      <c r="F284" s="88">
        <v>1</v>
      </c>
      <c r="G284" s="29">
        <v>5000</v>
      </c>
      <c r="H284" s="60">
        <v>0.52</v>
      </c>
      <c r="I284" s="65">
        <v>0.05</v>
      </c>
      <c r="J284" s="68">
        <v>2285.71</v>
      </c>
      <c r="K284" s="68">
        <f t="shared" ref="K284:K288" si="289">+I284*J284</f>
        <v>114.28550000000001</v>
      </c>
      <c r="L284" s="68">
        <f t="shared" ref="L284:L288" si="290">+J284+K284</f>
        <v>2399.9955</v>
      </c>
      <c r="M284" s="29">
        <v>3500</v>
      </c>
      <c r="N284" s="29">
        <v>3500</v>
      </c>
      <c r="O284" s="58">
        <v>0.05</v>
      </c>
      <c r="P284" s="51">
        <f>+N284*0.952380952380952</f>
        <v>3333.3333333333321</v>
      </c>
      <c r="Q284" s="51">
        <f>+P284*5%</f>
        <v>166.66666666666663</v>
      </c>
      <c r="R284" s="51">
        <f t="shared" si="288"/>
        <v>3499.9999999999986</v>
      </c>
      <c r="S284" s="9" t="s">
        <v>271</v>
      </c>
      <c r="T284" s="10" t="s">
        <v>10</v>
      </c>
      <c r="U284" s="11" t="s">
        <v>142</v>
      </c>
      <c r="V284" s="36" t="s">
        <v>142</v>
      </c>
      <c r="W284" s="41"/>
      <c r="X284" s="41"/>
      <c r="Z284" s="46"/>
      <c r="AA284" s="46"/>
      <c r="AB284" s="46"/>
    </row>
    <row r="285" spans="1:28" s="32" customFormat="1" ht="18" customHeight="1" x14ac:dyDescent="0.4">
      <c r="A285" s="8">
        <v>288</v>
      </c>
      <c r="B285" s="53" t="s">
        <v>30</v>
      </c>
      <c r="C285" s="5" t="s">
        <v>32</v>
      </c>
      <c r="D285" s="9" t="s">
        <v>16</v>
      </c>
      <c r="E285" s="88" t="s">
        <v>175</v>
      </c>
      <c r="F285" s="88">
        <v>1</v>
      </c>
      <c r="G285" s="29">
        <v>1967</v>
      </c>
      <c r="H285" s="60">
        <v>0.52</v>
      </c>
      <c r="I285" s="65">
        <v>0.05</v>
      </c>
      <c r="J285" s="68">
        <v>899.2</v>
      </c>
      <c r="K285" s="68">
        <f t="shared" si="289"/>
        <v>44.960000000000008</v>
      </c>
      <c r="L285" s="68">
        <f t="shared" si="290"/>
        <v>944.16000000000008</v>
      </c>
      <c r="M285" s="29">
        <v>1377</v>
      </c>
      <c r="N285" s="29">
        <v>1377</v>
      </c>
      <c r="O285" s="58">
        <v>0.05</v>
      </c>
      <c r="P285" s="51">
        <f>+N285*0.952380952380952</f>
        <v>1311.4285714285709</v>
      </c>
      <c r="Q285" s="51">
        <f>+P285*5%</f>
        <v>65.571428571428541</v>
      </c>
      <c r="R285" s="51">
        <f t="shared" si="288"/>
        <v>1376.9999999999993</v>
      </c>
      <c r="S285" s="9" t="s">
        <v>25</v>
      </c>
      <c r="T285" s="10" t="s">
        <v>10</v>
      </c>
      <c r="U285" s="11" t="s">
        <v>25</v>
      </c>
      <c r="V285" s="36" t="s">
        <v>25</v>
      </c>
      <c r="W285" s="41"/>
      <c r="X285" s="41"/>
      <c r="Z285" s="46"/>
      <c r="AA285" s="46"/>
      <c r="AB285" s="46"/>
    </row>
    <row r="286" spans="1:28" s="32" customFormat="1" ht="18" customHeight="1" x14ac:dyDescent="0.4">
      <c r="A286" s="33">
        <v>289</v>
      </c>
      <c r="B286" s="53" t="s">
        <v>30</v>
      </c>
      <c r="C286" s="5" t="s">
        <v>32</v>
      </c>
      <c r="D286" s="9" t="s">
        <v>20</v>
      </c>
      <c r="E286" s="88" t="s">
        <v>175</v>
      </c>
      <c r="F286" s="88">
        <v>1</v>
      </c>
      <c r="G286" s="29">
        <v>1967</v>
      </c>
      <c r="H286" s="60">
        <v>0.52</v>
      </c>
      <c r="I286" s="65">
        <v>0.05</v>
      </c>
      <c r="J286" s="68">
        <v>899.2</v>
      </c>
      <c r="K286" s="68">
        <f t="shared" si="289"/>
        <v>44.960000000000008</v>
      </c>
      <c r="L286" s="68">
        <f t="shared" si="290"/>
        <v>944.16000000000008</v>
      </c>
      <c r="M286" s="29">
        <v>1350</v>
      </c>
      <c r="N286" s="29">
        <v>1350</v>
      </c>
      <c r="O286" s="58">
        <v>0.05</v>
      </c>
      <c r="P286" s="51">
        <f>+N286*0.952380952380952</f>
        <v>1285.7142857142851</v>
      </c>
      <c r="Q286" s="51">
        <f>+P286*5%</f>
        <v>64.285714285714263</v>
      </c>
      <c r="R286" s="51">
        <f t="shared" si="288"/>
        <v>1349.9999999999993</v>
      </c>
      <c r="S286" s="9" t="s">
        <v>367</v>
      </c>
      <c r="T286" s="10" t="s">
        <v>7</v>
      </c>
      <c r="U286" s="11" t="s">
        <v>57</v>
      </c>
      <c r="V286" s="36" t="s">
        <v>57</v>
      </c>
      <c r="W286" s="41" t="s">
        <v>139</v>
      </c>
      <c r="X286" s="41" t="s">
        <v>368</v>
      </c>
      <c r="Z286" s="46"/>
      <c r="AA286" s="46"/>
      <c r="AB286" s="46"/>
    </row>
    <row r="287" spans="1:28" s="32" customFormat="1" ht="18" customHeight="1" x14ac:dyDescent="0.4">
      <c r="A287" s="33">
        <v>290</v>
      </c>
      <c r="B287" s="53" t="s">
        <v>278</v>
      </c>
      <c r="C287" s="5" t="s">
        <v>279</v>
      </c>
      <c r="D287" s="9" t="s">
        <v>41</v>
      </c>
      <c r="E287" s="88" t="s">
        <v>175</v>
      </c>
      <c r="F287" s="88">
        <v>1</v>
      </c>
      <c r="G287" s="29">
        <v>3099</v>
      </c>
      <c r="H287" s="60">
        <v>0.52</v>
      </c>
      <c r="I287" s="65">
        <v>0.05</v>
      </c>
      <c r="J287" s="68">
        <v>1416.69</v>
      </c>
      <c r="K287" s="68">
        <f t="shared" si="289"/>
        <v>70.834500000000006</v>
      </c>
      <c r="L287" s="68">
        <f t="shared" si="290"/>
        <v>1487.5245</v>
      </c>
      <c r="M287" s="6">
        <v>1859.4</v>
      </c>
      <c r="N287" s="6">
        <v>1859.4</v>
      </c>
      <c r="O287" s="58">
        <v>0.05</v>
      </c>
      <c r="P287" s="51">
        <f t="shared" ref="P287:P289" si="291">+N287*0.952380952380952</f>
        <v>1770.8571428571422</v>
      </c>
      <c r="Q287" s="51">
        <f t="shared" ref="Q287:Q289" si="292">+P287*5%</f>
        <v>88.542857142857116</v>
      </c>
      <c r="R287" s="51">
        <f t="shared" si="288"/>
        <v>1859.3999999999994</v>
      </c>
      <c r="S287" s="9" t="s">
        <v>57</v>
      </c>
      <c r="T287" s="10" t="s">
        <v>10</v>
      </c>
      <c r="U287" s="11" t="s">
        <v>57</v>
      </c>
      <c r="V287" s="36" t="s">
        <v>57</v>
      </c>
      <c r="W287" s="41"/>
      <c r="X287" s="41"/>
      <c r="Z287" s="46"/>
      <c r="AA287" s="46"/>
      <c r="AB287" s="46"/>
    </row>
    <row r="288" spans="1:28" s="32" customFormat="1" ht="18" customHeight="1" x14ac:dyDescent="0.4">
      <c r="A288" s="8">
        <v>291</v>
      </c>
      <c r="B288" s="13" t="s">
        <v>36</v>
      </c>
      <c r="C288" s="13" t="s">
        <v>33</v>
      </c>
      <c r="D288" s="9" t="s">
        <v>20</v>
      </c>
      <c r="E288" s="88" t="s">
        <v>341</v>
      </c>
      <c r="F288" s="88">
        <v>1</v>
      </c>
      <c r="G288" s="29">
        <v>9000</v>
      </c>
      <c r="H288" s="60">
        <v>0.52</v>
      </c>
      <c r="I288" s="65">
        <v>0.18</v>
      </c>
      <c r="J288" s="68">
        <v>4320</v>
      </c>
      <c r="K288" s="68">
        <f t="shared" si="289"/>
        <v>777.6</v>
      </c>
      <c r="L288" s="68">
        <f t="shared" si="290"/>
        <v>5097.6000000000004</v>
      </c>
      <c r="M288" s="6">
        <v>5097.6000000000004</v>
      </c>
      <c r="N288" s="6">
        <v>5097.6000000000004</v>
      </c>
      <c r="O288" s="58">
        <v>0.18</v>
      </c>
      <c r="P288" s="51">
        <f t="shared" si="291"/>
        <v>4854.8571428571413</v>
      </c>
      <c r="Q288" s="51">
        <f t="shared" si="292"/>
        <v>242.74285714285708</v>
      </c>
      <c r="R288" s="51">
        <f t="shared" si="288"/>
        <v>5097.5999999999985</v>
      </c>
      <c r="S288" s="9" t="s">
        <v>345</v>
      </c>
      <c r="T288" s="10" t="s">
        <v>10</v>
      </c>
      <c r="U288" s="11" t="s">
        <v>345</v>
      </c>
      <c r="V288" s="36"/>
      <c r="W288" s="41"/>
      <c r="X288" s="41"/>
      <c r="Z288" s="46"/>
      <c r="AA288" s="46"/>
      <c r="AB288" s="46"/>
    </row>
    <row r="289" spans="1:28" s="32" customFormat="1" ht="18" customHeight="1" x14ac:dyDescent="0.4">
      <c r="A289" s="8">
        <v>292</v>
      </c>
      <c r="B289" s="53" t="s">
        <v>30</v>
      </c>
      <c r="C289" s="5" t="s">
        <v>112</v>
      </c>
      <c r="D289" s="9" t="s">
        <v>9</v>
      </c>
      <c r="E289" s="88" t="s">
        <v>175</v>
      </c>
      <c r="F289" s="88">
        <v>1</v>
      </c>
      <c r="G289" s="29">
        <v>2999</v>
      </c>
      <c r="H289" s="60">
        <v>0.52</v>
      </c>
      <c r="I289" s="65">
        <v>0.05</v>
      </c>
      <c r="J289" s="68">
        <v>1370.97</v>
      </c>
      <c r="K289" s="68">
        <f>+I289*J289</f>
        <v>68.548500000000004</v>
      </c>
      <c r="L289" s="68">
        <f>+J289+K289</f>
        <v>1439.5185000000001</v>
      </c>
      <c r="M289" s="6">
        <v>1800</v>
      </c>
      <c r="N289" s="6">
        <v>1800</v>
      </c>
      <c r="O289" s="58">
        <v>0.05</v>
      </c>
      <c r="P289" s="51">
        <f t="shared" si="291"/>
        <v>1714.2857142857135</v>
      </c>
      <c r="Q289" s="51">
        <f t="shared" si="292"/>
        <v>85.71428571428568</v>
      </c>
      <c r="R289" s="51">
        <f t="shared" si="288"/>
        <v>1799.9999999999993</v>
      </c>
      <c r="S289" s="9" t="s">
        <v>271</v>
      </c>
      <c r="T289" s="10" t="s">
        <v>10</v>
      </c>
      <c r="U289" s="11" t="s">
        <v>142</v>
      </c>
      <c r="V289" s="36" t="s">
        <v>142</v>
      </c>
      <c r="W289" s="41"/>
      <c r="X289" s="41"/>
      <c r="Z289" s="46"/>
      <c r="AA289" s="46"/>
      <c r="AB289" s="46"/>
    </row>
    <row r="290" spans="1:28" s="32" customFormat="1" ht="18" customHeight="1" x14ac:dyDescent="0.4">
      <c r="A290" s="33">
        <v>293</v>
      </c>
      <c r="B290" s="53" t="s">
        <v>281</v>
      </c>
      <c r="C290" s="5" t="s">
        <v>346</v>
      </c>
      <c r="D290" s="9" t="s">
        <v>18</v>
      </c>
      <c r="E290" s="88" t="s">
        <v>347</v>
      </c>
      <c r="F290" s="88">
        <v>1</v>
      </c>
      <c r="G290" s="29">
        <v>6500</v>
      </c>
      <c r="H290" s="60">
        <v>0.52</v>
      </c>
      <c r="I290" s="65">
        <v>0.05</v>
      </c>
      <c r="J290" s="68">
        <v>2971.43</v>
      </c>
      <c r="K290" s="68">
        <f>+I290*J290</f>
        <v>148.57149999999999</v>
      </c>
      <c r="L290" s="68">
        <f>+J290+K290</f>
        <v>3120.0014999999999</v>
      </c>
      <c r="M290" s="6">
        <v>3900</v>
      </c>
      <c r="N290" s="6">
        <v>3900</v>
      </c>
      <c r="O290" s="58">
        <v>0.05</v>
      </c>
      <c r="P290" s="51">
        <f t="shared" ref="P290:P292" si="293">+N290*0.952380952380952</f>
        <v>3714.2857142857129</v>
      </c>
      <c r="Q290" s="51">
        <f t="shared" ref="Q290:Q292" si="294">+P290*5%</f>
        <v>185.71428571428567</v>
      </c>
      <c r="R290" s="51">
        <f t="shared" ref="R290:R299" si="295">+P290+Q290</f>
        <v>3899.9999999999986</v>
      </c>
      <c r="S290" s="9" t="s">
        <v>142</v>
      </c>
      <c r="T290" s="10" t="s">
        <v>10</v>
      </c>
      <c r="U290" s="11" t="s">
        <v>142</v>
      </c>
      <c r="V290" s="36" t="s">
        <v>142</v>
      </c>
      <c r="W290" s="41"/>
      <c r="X290" s="41"/>
      <c r="Z290" s="46"/>
      <c r="AA290" s="46"/>
      <c r="AB290" s="46"/>
    </row>
    <row r="291" spans="1:28" s="32" customFormat="1" ht="18" customHeight="1" x14ac:dyDescent="0.4">
      <c r="A291" s="8">
        <v>294</v>
      </c>
      <c r="B291" s="13" t="s">
        <v>36</v>
      </c>
      <c r="C291" s="13" t="s">
        <v>82</v>
      </c>
      <c r="D291" s="9" t="s">
        <v>20</v>
      </c>
      <c r="E291" s="88" t="s">
        <v>175</v>
      </c>
      <c r="F291" s="88">
        <v>1</v>
      </c>
      <c r="G291" s="29">
        <v>8010</v>
      </c>
      <c r="H291" s="60">
        <v>0.52</v>
      </c>
      <c r="I291" s="65">
        <v>0.18</v>
      </c>
      <c r="J291" s="68">
        <v>3529.83</v>
      </c>
      <c r="K291" s="68">
        <f t="shared" ref="K291" si="296">+I291*J291</f>
        <v>635.36939999999993</v>
      </c>
      <c r="L291" s="68">
        <f t="shared" ref="L291" si="297">+J291+K291</f>
        <v>4165.1993999999995</v>
      </c>
      <c r="M291" s="6">
        <v>5200</v>
      </c>
      <c r="N291" s="6">
        <v>5200</v>
      </c>
      <c r="O291" s="58">
        <v>0.18</v>
      </c>
      <c r="P291" s="51">
        <f t="shared" si="293"/>
        <v>4952.3809523809505</v>
      </c>
      <c r="Q291" s="51">
        <f t="shared" si="294"/>
        <v>247.61904761904754</v>
      </c>
      <c r="R291" s="51">
        <f t="shared" si="295"/>
        <v>5199.9999999999982</v>
      </c>
      <c r="S291" s="9" t="s">
        <v>251</v>
      </c>
      <c r="T291" s="10" t="s">
        <v>7</v>
      </c>
      <c r="U291" s="11" t="s">
        <v>114</v>
      </c>
      <c r="V291" s="9" t="s">
        <v>251</v>
      </c>
      <c r="W291" s="41" t="s">
        <v>139</v>
      </c>
      <c r="X291" s="41" t="s">
        <v>361</v>
      </c>
      <c r="Z291" s="46"/>
      <c r="AA291" s="46"/>
      <c r="AB291" s="46"/>
    </row>
    <row r="292" spans="1:28" s="32" customFormat="1" ht="18" customHeight="1" x14ac:dyDescent="0.4">
      <c r="A292" s="8">
        <v>295</v>
      </c>
      <c r="B292" s="53" t="s">
        <v>30</v>
      </c>
      <c r="C292" s="5" t="s">
        <v>163</v>
      </c>
      <c r="D292" s="9" t="s">
        <v>41</v>
      </c>
      <c r="E292" s="88" t="s">
        <v>175</v>
      </c>
      <c r="F292" s="88">
        <v>1</v>
      </c>
      <c r="G292" s="29">
        <v>2999</v>
      </c>
      <c r="H292" s="60">
        <v>0.52</v>
      </c>
      <c r="I292" s="65">
        <v>0.05</v>
      </c>
      <c r="J292" s="68">
        <v>1370.97</v>
      </c>
      <c r="K292" s="68">
        <f>+I292*J292</f>
        <v>68.548500000000004</v>
      </c>
      <c r="L292" s="68">
        <f>+J292+K292</f>
        <v>1439.5185000000001</v>
      </c>
      <c r="M292" s="6">
        <v>2099.3000000000002</v>
      </c>
      <c r="N292" s="6">
        <v>2099.3000000000002</v>
      </c>
      <c r="O292" s="58">
        <v>0.05</v>
      </c>
      <c r="P292" s="51">
        <f t="shared" si="293"/>
        <v>1999.3333333333328</v>
      </c>
      <c r="Q292" s="51">
        <f t="shared" si="294"/>
        <v>99.96666666666664</v>
      </c>
      <c r="R292" s="51">
        <f t="shared" si="295"/>
        <v>2099.2999999999993</v>
      </c>
      <c r="S292" s="10" t="s">
        <v>129</v>
      </c>
      <c r="T292" s="10" t="s">
        <v>7</v>
      </c>
      <c r="U292" s="11" t="s">
        <v>129</v>
      </c>
      <c r="V292" s="11" t="s">
        <v>129</v>
      </c>
      <c r="W292" s="41" t="s">
        <v>349</v>
      </c>
      <c r="X292" s="41"/>
      <c r="Z292" s="46"/>
      <c r="AA292" s="46"/>
      <c r="AB292" s="46"/>
    </row>
    <row r="293" spans="1:28" s="32" customFormat="1" ht="18" customHeight="1" x14ac:dyDescent="0.4">
      <c r="A293" s="33">
        <v>296</v>
      </c>
      <c r="B293" s="53" t="s">
        <v>30</v>
      </c>
      <c r="C293" s="5" t="s">
        <v>32</v>
      </c>
      <c r="D293" s="9" t="s">
        <v>20</v>
      </c>
      <c r="E293" s="88" t="s">
        <v>316</v>
      </c>
      <c r="F293" s="88">
        <v>1</v>
      </c>
      <c r="G293" s="29">
        <v>1967</v>
      </c>
      <c r="H293" s="60">
        <v>0.52</v>
      </c>
      <c r="I293" s="65">
        <v>0.05</v>
      </c>
      <c r="J293" s="68">
        <v>899.2</v>
      </c>
      <c r="K293" s="68">
        <f t="shared" ref="K293:K295" si="298">+I293*J293</f>
        <v>44.960000000000008</v>
      </c>
      <c r="L293" s="68">
        <f t="shared" ref="L293:L298" si="299">+J293+K293</f>
        <v>944.16000000000008</v>
      </c>
      <c r="M293" s="29">
        <v>1377</v>
      </c>
      <c r="N293" s="29">
        <v>1377</v>
      </c>
      <c r="O293" s="58">
        <v>0.05</v>
      </c>
      <c r="P293" s="51">
        <f>+N293*0.952380952380952</f>
        <v>1311.4285714285709</v>
      </c>
      <c r="Q293" s="51">
        <f>+P293*5%</f>
        <v>65.571428571428541</v>
      </c>
      <c r="R293" s="51">
        <f t="shared" si="295"/>
        <v>1376.9999999999993</v>
      </c>
      <c r="S293" s="10" t="s">
        <v>129</v>
      </c>
      <c r="T293" s="10" t="s">
        <v>7</v>
      </c>
      <c r="U293" s="11" t="s">
        <v>129</v>
      </c>
      <c r="V293" s="11" t="s">
        <v>129</v>
      </c>
      <c r="W293" s="41" t="s">
        <v>349</v>
      </c>
      <c r="X293" s="41"/>
      <c r="Z293" s="46"/>
      <c r="AA293" s="46"/>
      <c r="AB293" s="46"/>
    </row>
    <row r="294" spans="1:28" s="32" customFormat="1" ht="18" customHeight="1" x14ac:dyDescent="0.4">
      <c r="A294" s="33">
        <v>297</v>
      </c>
      <c r="B294" s="53" t="s">
        <v>30</v>
      </c>
      <c r="C294" s="5" t="s">
        <v>32</v>
      </c>
      <c r="D294" s="9" t="s">
        <v>41</v>
      </c>
      <c r="E294" s="88" t="s">
        <v>175</v>
      </c>
      <c r="F294" s="88">
        <v>1</v>
      </c>
      <c r="G294" s="29">
        <v>1967</v>
      </c>
      <c r="H294" s="60">
        <v>0.52</v>
      </c>
      <c r="I294" s="65">
        <v>0.05</v>
      </c>
      <c r="J294" s="68">
        <v>899.2</v>
      </c>
      <c r="K294" s="68">
        <f t="shared" si="298"/>
        <v>44.960000000000008</v>
      </c>
      <c r="L294" s="68">
        <f t="shared" si="299"/>
        <v>944.16000000000008</v>
      </c>
      <c r="M294" s="29">
        <v>1377</v>
      </c>
      <c r="N294" s="29">
        <v>1377</v>
      </c>
      <c r="O294" s="58">
        <v>0.05</v>
      </c>
      <c r="P294" s="51">
        <f>+N294*0.952380952380952</f>
        <v>1311.4285714285709</v>
      </c>
      <c r="Q294" s="51">
        <f>+P294*5%</f>
        <v>65.571428571428541</v>
      </c>
      <c r="R294" s="51">
        <f t="shared" si="295"/>
        <v>1376.9999999999993</v>
      </c>
      <c r="S294" s="10" t="s">
        <v>25</v>
      </c>
      <c r="T294" s="10" t="s">
        <v>10</v>
      </c>
      <c r="U294" s="11" t="s">
        <v>25</v>
      </c>
      <c r="V294" s="11" t="s">
        <v>25</v>
      </c>
      <c r="W294" s="41"/>
      <c r="X294" s="41"/>
      <c r="Z294" s="46"/>
      <c r="AA294" s="46"/>
      <c r="AB294" s="46"/>
    </row>
    <row r="295" spans="1:28" s="32" customFormat="1" ht="18" customHeight="1" x14ac:dyDescent="0.4">
      <c r="A295" s="33">
        <v>298</v>
      </c>
      <c r="B295" s="53" t="s">
        <v>278</v>
      </c>
      <c r="C295" s="5" t="s">
        <v>279</v>
      </c>
      <c r="D295" s="9" t="s">
        <v>16</v>
      </c>
      <c r="E295" s="88" t="s">
        <v>316</v>
      </c>
      <c r="F295" s="88">
        <v>1</v>
      </c>
      <c r="G295" s="29">
        <v>3099</v>
      </c>
      <c r="H295" s="60">
        <v>0.52</v>
      </c>
      <c r="I295" s="65">
        <v>0.05</v>
      </c>
      <c r="J295" s="68">
        <v>1416.69</v>
      </c>
      <c r="K295" s="68">
        <f t="shared" si="298"/>
        <v>70.834500000000006</v>
      </c>
      <c r="L295" s="68">
        <f t="shared" si="299"/>
        <v>1487.5245</v>
      </c>
      <c r="M295" s="6">
        <v>2169</v>
      </c>
      <c r="N295" s="6">
        <v>2169</v>
      </c>
      <c r="O295" s="58">
        <v>0.05</v>
      </c>
      <c r="P295" s="51">
        <f t="shared" ref="P295" si="300">+N295*0.952380952380952</f>
        <v>2065.7142857142849</v>
      </c>
      <c r="Q295" s="51">
        <f t="shared" ref="Q295" si="301">+P295*5%</f>
        <v>103.28571428571425</v>
      </c>
      <c r="R295" s="51">
        <f t="shared" si="295"/>
        <v>2168.9999999999991</v>
      </c>
      <c r="S295" s="9" t="s">
        <v>353</v>
      </c>
      <c r="T295" s="10" t="s">
        <v>7</v>
      </c>
      <c r="U295" s="11" t="s">
        <v>353</v>
      </c>
      <c r="V295" s="36" t="s">
        <v>353</v>
      </c>
      <c r="W295" s="41" t="s">
        <v>349</v>
      </c>
      <c r="X295" s="41"/>
      <c r="Z295" s="46"/>
      <c r="AA295" s="46"/>
      <c r="AB295" s="46"/>
    </row>
    <row r="296" spans="1:28" s="32" customFormat="1" ht="18" customHeight="1" x14ac:dyDescent="0.4">
      <c r="A296" s="138">
        <v>299</v>
      </c>
      <c r="B296" s="5" t="s">
        <v>30</v>
      </c>
      <c r="C296" s="5" t="s">
        <v>49</v>
      </c>
      <c r="D296" s="9" t="s">
        <v>16</v>
      </c>
      <c r="E296" s="87" t="s">
        <v>107</v>
      </c>
      <c r="F296" s="87">
        <v>1</v>
      </c>
      <c r="G296" s="29">
        <v>2207</v>
      </c>
      <c r="H296" s="60">
        <v>0.5</v>
      </c>
      <c r="I296" s="65">
        <v>0.05</v>
      </c>
      <c r="J296" s="68">
        <v>1050.95</v>
      </c>
      <c r="K296" s="68">
        <f>+I296*J296</f>
        <v>52.547500000000007</v>
      </c>
      <c r="L296" s="68">
        <f t="shared" si="299"/>
        <v>1103.4974999999999</v>
      </c>
      <c r="M296" s="29">
        <v>1324</v>
      </c>
      <c r="N296" s="29">
        <v>1324</v>
      </c>
      <c r="O296" s="71">
        <v>0.05</v>
      </c>
      <c r="P296" s="52">
        <f>+N296*0.952380952380952</f>
        <v>1260.9523809523805</v>
      </c>
      <c r="Q296" s="52">
        <f>+P296*5%</f>
        <v>63.04761904761903</v>
      </c>
      <c r="R296" s="52">
        <f t="shared" si="295"/>
        <v>1323.9999999999995</v>
      </c>
      <c r="S296" s="28" t="s">
        <v>354</v>
      </c>
      <c r="T296" s="30" t="s">
        <v>10</v>
      </c>
      <c r="U296" s="31" t="s">
        <v>355</v>
      </c>
      <c r="V296" s="31" t="s">
        <v>355</v>
      </c>
      <c r="W296" s="41"/>
      <c r="X296" s="92"/>
      <c r="Z296" s="46"/>
      <c r="AA296" s="46"/>
      <c r="AB296" s="46"/>
    </row>
    <row r="297" spans="1:28" s="32" customFormat="1" ht="18" customHeight="1" x14ac:dyDescent="0.4">
      <c r="A297" s="138">
        <v>300</v>
      </c>
      <c r="B297" s="5" t="s">
        <v>30</v>
      </c>
      <c r="C297" s="5" t="s">
        <v>29</v>
      </c>
      <c r="D297" s="9" t="s">
        <v>16</v>
      </c>
      <c r="E297" s="88" t="s">
        <v>175</v>
      </c>
      <c r="F297" s="88">
        <v>1</v>
      </c>
      <c r="G297" s="29">
        <v>2207</v>
      </c>
      <c r="H297" s="136">
        <v>0.52</v>
      </c>
      <c r="I297" s="137">
        <v>0.05</v>
      </c>
      <c r="J297" s="139">
        <v>1008.91</v>
      </c>
      <c r="K297" s="140">
        <f>+J297*I297</f>
        <v>50.445500000000003</v>
      </c>
      <c r="L297" s="140">
        <f t="shared" si="299"/>
        <v>1059.3554999999999</v>
      </c>
      <c r="M297" s="29">
        <v>1324</v>
      </c>
      <c r="N297" s="29">
        <v>1324</v>
      </c>
      <c r="O297" s="71">
        <v>0.05</v>
      </c>
      <c r="P297" s="52">
        <f>+N297*0.952380952380952</f>
        <v>1260.9523809523805</v>
      </c>
      <c r="Q297" s="52">
        <f>+P297*5%</f>
        <v>63.04761904761903</v>
      </c>
      <c r="R297" s="52">
        <f t="shared" si="295"/>
        <v>1323.9999999999995</v>
      </c>
      <c r="S297" s="28" t="s">
        <v>356</v>
      </c>
      <c r="T297" s="30" t="s">
        <v>10</v>
      </c>
      <c r="U297" s="31" t="s">
        <v>355</v>
      </c>
      <c r="V297" s="31" t="s">
        <v>355</v>
      </c>
      <c r="W297" s="41"/>
      <c r="X297" s="92"/>
      <c r="Z297" s="46"/>
      <c r="AA297" s="46"/>
      <c r="AB297" s="46"/>
    </row>
    <row r="298" spans="1:28" s="32" customFormat="1" ht="18" customHeight="1" x14ac:dyDescent="0.4">
      <c r="A298" s="33">
        <v>301</v>
      </c>
      <c r="B298" s="53" t="s">
        <v>30</v>
      </c>
      <c r="C298" s="5" t="s">
        <v>32</v>
      </c>
      <c r="D298" s="9" t="s">
        <v>18</v>
      </c>
      <c r="E298" s="87" t="s">
        <v>107</v>
      </c>
      <c r="F298" s="87">
        <v>1</v>
      </c>
      <c r="G298" s="29">
        <v>1967</v>
      </c>
      <c r="H298" s="60">
        <v>0.5</v>
      </c>
      <c r="I298" s="65">
        <v>0.05</v>
      </c>
      <c r="J298" s="68">
        <v>936.67</v>
      </c>
      <c r="K298" s="68">
        <f>+I298*J298</f>
        <v>46.833500000000001</v>
      </c>
      <c r="L298" s="68">
        <f t="shared" si="299"/>
        <v>983.50349999999992</v>
      </c>
      <c r="M298" s="29">
        <v>1180</v>
      </c>
      <c r="N298" s="29">
        <v>1180</v>
      </c>
      <c r="O298" s="58">
        <v>0.05</v>
      </c>
      <c r="P298" s="51">
        <f>+N298*0.952380952380952</f>
        <v>1123.8095238095234</v>
      </c>
      <c r="Q298" s="51">
        <f>+P298*5%</f>
        <v>56.190476190476176</v>
      </c>
      <c r="R298" s="51">
        <f t="shared" si="295"/>
        <v>1179.9999999999995</v>
      </c>
      <c r="S298" s="10" t="s">
        <v>357</v>
      </c>
      <c r="T298" s="10" t="s">
        <v>10</v>
      </c>
      <c r="U298" s="31" t="s">
        <v>355</v>
      </c>
      <c r="V298" s="31" t="s">
        <v>355</v>
      </c>
      <c r="W298" s="41"/>
      <c r="X298" s="41"/>
      <c r="Z298" s="46"/>
      <c r="AA298" s="46"/>
      <c r="AB298" s="46"/>
    </row>
    <row r="299" spans="1:28" s="32" customFormat="1" ht="18" customHeight="1" x14ac:dyDescent="0.4">
      <c r="A299" s="8">
        <v>302</v>
      </c>
      <c r="B299" s="53" t="s">
        <v>30</v>
      </c>
      <c r="C299" s="5" t="s">
        <v>163</v>
      </c>
      <c r="D299" s="9" t="s">
        <v>18</v>
      </c>
      <c r="E299" s="88" t="s">
        <v>175</v>
      </c>
      <c r="F299" s="88">
        <v>1</v>
      </c>
      <c r="G299" s="29">
        <v>2999</v>
      </c>
      <c r="H299" s="60">
        <v>0.52</v>
      </c>
      <c r="I299" s="65">
        <v>0.05</v>
      </c>
      <c r="J299" s="68">
        <v>1370.97</v>
      </c>
      <c r="K299" s="68">
        <f>+I299*J299</f>
        <v>68.548500000000004</v>
      </c>
      <c r="L299" s="68">
        <f>+J299+K299</f>
        <v>1439.5185000000001</v>
      </c>
      <c r="M299" s="6">
        <v>1799</v>
      </c>
      <c r="N299" s="6">
        <v>1799</v>
      </c>
      <c r="O299" s="58">
        <v>0.05</v>
      </c>
      <c r="P299" s="51">
        <f t="shared" ref="P299" si="302">+N299*0.952380952380952</f>
        <v>1713.3333333333326</v>
      </c>
      <c r="Q299" s="51">
        <f t="shared" ref="Q299" si="303">+P299*5%</f>
        <v>85.666666666666629</v>
      </c>
      <c r="R299" s="51">
        <f t="shared" si="295"/>
        <v>1798.9999999999991</v>
      </c>
      <c r="S299" s="10" t="s">
        <v>358</v>
      </c>
      <c r="T299" s="10" t="s">
        <v>10</v>
      </c>
      <c r="U299" s="31" t="s">
        <v>355</v>
      </c>
      <c r="V299" s="31" t="s">
        <v>355</v>
      </c>
      <c r="W299" s="41"/>
      <c r="X299" s="41"/>
      <c r="Z299" s="46"/>
      <c r="AA299" s="46"/>
      <c r="AB299" s="46"/>
    </row>
    <row r="300" spans="1:28" s="32" customFormat="1" ht="18" customHeight="1" x14ac:dyDescent="0.4">
      <c r="A300" s="33">
        <v>303</v>
      </c>
      <c r="B300" s="53" t="s">
        <v>30</v>
      </c>
      <c r="C300" s="5" t="s">
        <v>31</v>
      </c>
      <c r="D300" s="9" t="s">
        <v>42</v>
      </c>
      <c r="E300" s="88" t="s">
        <v>175</v>
      </c>
      <c r="F300" s="88">
        <v>1</v>
      </c>
      <c r="G300" s="29">
        <v>1967</v>
      </c>
      <c r="H300" s="60">
        <v>0.52</v>
      </c>
      <c r="I300" s="65">
        <v>0.05</v>
      </c>
      <c r="J300" s="68">
        <v>899.2</v>
      </c>
      <c r="K300" s="68">
        <f t="shared" ref="K300:K305" si="304">+I300*J300</f>
        <v>44.960000000000008</v>
      </c>
      <c r="L300" s="68">
        <f t="shared" ref="L300:L303" si="305">+J300+K300</f>
        <v>944.16000000000008</v>
      </c>
      <c r="M300" s="29">
        <v>1377</v>
      </c>
      <c r="N300" s="29">
        <v>1377</v>
      </c>
      <c r="O300" s="58">
        <v>0.05</v>
      </c>
      <c r="P300" s="51">
        <f>+N300*0.952380952380952</f>
        <v>1311.4285714285709</v>
      </c>
      <c r="Q300" s="51">
        <f>+P300*5%</f>
        <v>65.571428571428541</v>
      </c>
      <c r="R300" s="51">
        <f t="shared" ref="R300:R301" si="306">+P300+Q300</f>
        <v>1376.9999999999993</v>
      </c>
      <c r="S300" s="10" t="s">
        <v>25</v>
      </c>
      <c r="T300" s="10" t="s">
        <v>10</v>
      </c>
      <c r="U300" s="11" t="s">
        <v>25</v>
      </c>
      <c r="V300" s="11" t="s">
        <v>25</v>
      </c>
      <c r="W300" s="41"/>
      <c r="X300" s="41"/>
      <c r="Z300" s="46"/>
      <c r="AA300" s="46"/>
      <c r="AB300" s="46"/>
    </row>
    <row r="301" spans="1:28" s="32" customFormat="1" ht="18" customHeight="1" x14ac:dyDescent="0.4">
      <c r="A301" s="33">
        <v>304</v>
      </c>
      <c r="B301" s="53" t="s">
        <v>30</v>
      </c>
      <c r="C301" s="5" t="s">
        <v>32</v>
      </c>
      <c r="D301" s="9" t="s">
        <v>20</v>
      </c>
      <c r="E301" s="88" t="s">
        <v>175</v>
      </c>
      <c r="F301" s="88">
        <v>1</v>
      </c>
      <c r="G301" s="29">
        <v>1967</v>
      </c>
      <c r="H301" s="60">
        <v>0.52</v>
      </c>
      <c r="I301" s="65">
        <v>0.05</v>
      </c>
      <c r="J301" s="68">
        <v>899.2</v>
      </c>
      <c r="K301" s="68">
        <f t="shared" si="304"/>
        <v>44.960000000000008</v>
      </c>
      <c r="L301" s="68">
        <f t="shared" si="305"/>
        <v>944.16000000000008</v>
      </c>
      <c r="M301" s="29">
        <v>1377</v>
      </c>
      <c r="N301" s="29">
        <v>1377</v>
      </c>
      <c r="O301" s="58">
        <v>0.05</v>
      </c>
      <c r="P301" s="51">
        <f>+N301*0.952380952380952</f>
        <v>1311.4285714285709</v>
      </c>
      <c r="Q301" s="51">
        <f>+P301*5%</f>
        <v>65.571428571428541</v>
      </c>
      <c r="R301" s="51">
        <f t="shared" si="306"/>
        <v>1376.9999999999993</v>
      </c>
      <c r="S301" s="10" t="s">
        <v>25</v>
      </c>
      <c r="T301" s="10" t="s">
        <v>10</v>
      </c>
      <c r="U301" s="11" t="s">
        <v>25</v>
      </c>
      <c r="V301" s="11" t="s">
        <v>25</v>
      </c>
      <c r="W301" s="41"/>
      <c r="X301" s="41"/>
      <c r="Z301" s="46"/>
      <c r="AA301" s="46"/>
      <c r="AB301" s="46"/>
    </row>
    <row r="302" spans="1:28" s="32" customFormat="1" ht="18" customHeight="1" x14ac:dyDescent="0.4">
      <c r="A302" s="33">
        <v>305</v>
      </c>
      <c r="B302" s="53" t="s">
        <v>30</v>
      </c>
      <c r="C302" s="5" t="s">
        <v>112</v>
      </c>
      <c r="D302" s="9" t="s">
        <v>16</v>
      </c>
      <c r="E302" s="88" t="s">
        <v>116</v>
      </c>
      <c r="F302" s="88">
        <v>1</v>
      </c>
      <c r="G302" s="29">
        <v>2999</v>
      </c>
      <c r="H302" s="60">
        <v>0.52</v>
      </c>
      <c r="I302" s="65">
        <v>0.05</v>
      </c>
      <c r="J302" s="68">
        <v>1370.97</v>
      </c>
      <c r="K302" s="68">
        <f t="shared" si="304"/>
        <v>68.548500000000004</v>
      </c>
      <c r="L302" s="68">
        <f t="shared" si="305"/>
        <v>1439.5185000000001</v>
      </c>
      <c r="M302" s="6">
        <v>1800</v>
      </c>
      <c r="N302" s="6">
        <v>1800</v>
      </c>
      <c r="O302" s="58">
        <v>0.05</v>
      </c>
      <c r="P302" s="51">
        <f>+N302*0.952380952380952</f>
        <v>1714.2857142857135</v>
      </c>
      <c r="Q302" s="51">
        <f>+P302*5%</f>
        <v>85.71428571428568</v>
      </c>
      <c r="R302" s="51">
        <f t="shared" ref="R302:R303" si="307">+P302+Q302</f>
        <v>1799.9999999999993</v>
      </c>
      <c r="S302" s="9" t="s">
        <v>47</v>
      </c>
      <c r="T302" s="10" t="s">
        <v>7</v>
      </c>
      <c r="U302" s="9" t="s">
        <v>47</v>
      </c>
      <c r="V302" s="9" t="s">
        <v>47</v>
      </c>
      <c r="W302" s="41" t="s">
        <v>139</v>
      </c>
      <c r="X302" s="41" t="s">
        <v>361</v>
      </c>
      <c r="Z302" s="46"/>
      <c r="AA302" s="46"/>
      <c r="AB302" s="46"/>
    </row>
    <row r="303" spans="1:28" s="32" customFormat="1" ht="18" customHeight="1" x14ac:dyDescent="0.4">
      <c r="A303" s="8">
        <v>306</v>
      </c>
      <c r="B303" s="5" t="s">
        <v>30</v>
      </c>
      <c r="C303" s="14" t="s">
        <v>31</v>
      </c>
      <c r="D303" s="9" t="s">
        <v>16</v>
      </c>
      <c r="E303" s="176" t="s">
        <v>175</v>
      </c>
      <c r="F303" s="176">
        <v>2</v>
      </c>
      <c r="G303" s="29">
        <v>1967</v>
      </c>
      <c r="H303" s="60">
        <v>0.52</v>
      </c>
      <c r="I303" s="65">
        <v>0.05</v>
      </c>
      <c r="J303" s="68">
        <v>899.2</v>
      </c>
      <c r="K303" s="68">
        <f t="shared" si="304"/>
        <v>44.960000000000008</v>
      </c>
      <c r="L303" s="68">
        <f t="shared" si="305"/>
        <v>944.16000000000008</v>
      </c>
      <c r="M303" s="6">
        <v>1600</v>
      </c>
      <c r="N303" s="6">
        <f>M303*F303</f>
        <v>3200</v>
      </c>
      <c r="O303" s="58">
        <v>0.05</v>
      </c>
      <c r="P303" s="51">
        <f>+N303*0.952380952380952</f>
        <v>3047.6190476190463</v>
      </c>
      <c r="Q303" s="51">
        <f>+P303*5%</f>
        <v>152.38095238095232</v>
      </c>
      <c r="R303" s="51">
        <f t="shared" si="307"/>
        <v>3199.9999999999986</v>
      </c>
      <c r="S303" s="9" t="s">
        <v>50</v>
      </c>
      <c r="T303" s="10" t="s">
        <v>7</v>
      </c>
      <c r="U303" s="11" t="s">
        <v>50</v>
      </c>
      <c r="V303" s="36" t="s">
        <v>50</v>
      </c>
      <c r="W303" s="41" t="s">
        <v>139</v>
      </c>
      <c r="X303" s="41" t="s">
        <v>362</v>
      </c>
      <c r="Z303" s="46"/>
      <c r="AA303" s="46"/>
      <c r="AB303" s="46"/>
    </row>
    <row r="304" spans="1:28" s="32" customFormat="1" ht="18" customHeight="1" x14ac:dyDescent="0.4">
      <c r="A304" s="33">
        <v>307</v>
      </c>
      <c r="B304" s="13" t="s">
        <v>36</v>
      </c>
      <c r="C304" s="13" t="s">
        <v>33</v>
      </c>
      <c r="D304" s="9" t="s">
        <v>16</v>
      </c>
      <c r="E304" s="176" t="s">
        <v>175</v>
      </c>
      <c r="F304" s="176">
        <v>1</v>
      </c>
      <c r="G304" s="29">
        <v>9000</v>
      </c>
      <c r="H304" s="60">
        <v>0.52</v>
      </c>
      <c r="I304" s="65">
        <v>0.18</v>
      </c>
      <c r="J304" s="68">
        <v>3661.02</v>
      </c>
      <c r="K304" s="68">
        <f t="shared" si="304"/>
        <v>658.98360000000002</v>
      </c>
      <c r="L304" s="68">
        <f>+J304+K304</f>
        <v>4320.0036</v>
      </c>
      <c r="M304" s="6">
        <v>4206.6000000000004</v>
      </c>
      <c r="N304" s="6">
        <v>4206.6000000000004</v>
      </c>
      <c r="O304" s="58">
        <v>0.18</v>
      </c>
      <c r="P304" s="51">
        <f>+N304*0.847457627118644</f>
        <v>3564.9152542372881</v>
      </c>
      <c r="Q304" s="51">
        <f>+P304*18%</f>
        <v>641.68474576271183</v>
      </c>
      <c r="R304" s="51">
        <f>+P304+Q304</f>
        <v>4206.6000000000004</v>
      </c>
      <c r="S304" s="10" t="s">
        <v>271</v>
      </c>
      <c r="T304" s="10" t="s">
        <v>10</v>
      </c>
      <c r="U304" s="11" t="s">
        <v>142</v>
      </c>
      <c r="V304" s="36" t="s">
        <v>142</v>
      </c>
      <c r="W304" s="41"/>
      <c r="X304" s="41"/>
      <c r="Z304" s="46"/>
      <c r="AA304" s="46"/>
      <c r="AB304" s="46"/>
    </row>
    <row r="305" spans="1:32" s="32" customFormat="1" ht="18" customHeight="1" x14ac:dyDescent="0.4">
      <c r="A305" s="8">
        <v>308</v>
      </c>
      <c r="B305" s="53" t="s">
        <v>30</v>
      </c>
      <c r="C305" s="14" t="s">
        <v>39</v>
      </c>
      <c r="D305" s="9" t="s">
        <v>20</v>
      </c>
      <c r="E305" s="176" t="s">
        <v>347</v>
      </c>
      <c r="F305" s="176">
        <v>1</v>
      </c>
      <c r="G305" s="29">
        <v>4590</v>
      </c>
      <c r="H305" s="60">
        <v>0.62</v>
      </c>
      <c r="I305" s="65">
        <v>0.05</v>
      </c>
      <c r="J305" s="68">
        <v>1661.14</v>
      </c>
      <c r="K305" s="68">
        <f t="shared" si="304"/>
        <v>83.057000000000016</v>
      </c>
      <c r="L305" s="68">
        <f t="shared" ref="L305" si="308">+J305+K305</f>
        <v>1744.1970000000001</v>
      </c>
      <c r="M305" s="6">
        <v>2800</v>
      </c>
      <c r="N305" s="6">
        <f t="shared" ref="N305" si="309">M305*F305</f>
        <v>2800</v>
      </c>
      <c r="O305" s="58">
        <v>0.05</v>
      </c>
      <c r="P305" s="51">
        <f t="shared" ref="P305" si="310">+N305*0.952380952380952</f>
        <v>2666.6666666666656</v>
      </c>
      <c r="Q305" s="51">
        <f t="shared" ref="Q305" si="311">+P305*5%</f>
        <v>133.33333333333329</v>
      </c>
      <c r="R305" s="51">
        <f t="shared" ref="R305" si="312">+P305+Q305</f>
        <v>2799.9999999999991</v>
      </c>
      <c r="S305" s="9" t="s">
        <v>363</v>
      </c>
      <c r="T305" s="10" t="s">
        <v>7</v>
      </c>
      <c r="U305" s="11" t="s">
        <v>363</v>
      </c>
      <c r="V305" s="9" t="s">
        <v>363</v>
      </c>
      <c r="W305" s="41"/>
      <c r="X305" s="41" t="s">
        <v>369</v>
      </c>
      <c r="Z305" s="46"/>
      <c r="AA305" s="46"/>
      <c r="AB305" s="46"/>
    </row>
    <row r="306" spans="1:32" s="32" customFormat="1" ht="18" customHeight="1" x14ac:dyDescent="0.4">
      <c r="A306" s="8">
        <v>309</v>
      </c>
      <c r="B306" s="53" t="s">
        <v>30</v>
      </c>
      <c r="C306" s="14" t="s">
        <v>39</v>
      </c>
      <c r="D306" s="9" t="s">
        <v>18</v>
      </c>
      <c r="E306" s="176" t="s">
        <v>347</v>
      </c>
      <c r="F306" s="176">
        <v>1</v>
      </c>
      <c r="G306" s="29">
        <v>4590</v>
      </c>
      <c r="H306" s="60">
        <v>0.62</v>
      </c>
      <c r="I306" s="65">
        <v>0.05</v>
      </c>
      <c r="J306" s="68">
        <v>1661.14</v>
      </c>
      <c r="K306" s="68">
        <f t="shared" ref="K306" si="313">+I306*J306</f>
        <v>83.057000000000016</v>
      </c>
      <c r="L306" s="68">
        <f t="shared" ref="L306:L307" si="314">+J306+K306</f>
        <v>1744.1970000000001</v>
      </c>
      <c r="M306" s="6">
        <v>2800</v>
      </c>
      <c r="N306" s="6">
        <f t="shared" ref="N306" si="315">M306*F306</f>
        <v>2800</v>
      </c>
      <c r="O306" s="58">
        <v>0.05</v>
      </c>
      <c r="P306" s="51">
        <f t="shared" ref="P306" si="316">+N306*0.952380952380952</f>
        <v>2666.6666666666656</v>
      </c>
      <c r="Q306" s="51">
        <f t="shared" ref="Q306" si="317">+P306*5%</f>
        <v>133.33333333333329</v>
      </c>
      <c r="R306" s="51">
        <f t="shared" ref="R306:R307" si="318">+P306+Q306</f>
        <v>2799.9999999999991</v>
      </c>
      <c r="S306" s="9" t="s">
        <v>370</v>
      </c>
      <c r="T306" s="10" t="s">
        <v>10</v>
      </c>
      <c r="U306" s="11" t="s">
        <v>370</v>
      </c>
      <c r="V306" s="9" t="s">
        <v>370</v>
      </c>
      <c r="W306" s="41"/>
      <c r="X306" s="41"/>
      <c r="Z306" s="46"/>
      <c r="AA306" s="46"/>
      <c r="AB306" s="46"/>
    </row>
    <row r="307" spans="1:32" s="32" customFormat="1" ht="18" customHeight="1" x14ac:dyDescent="0.4">
      <c r="A307" s="138">
        <v>310</v>
      </c>
      <c r="B307" s="5" t="s">
        <v>30</v>
      </c>
      <c r="C307" s="5" t="s">
        <v>29</v>
      </c>
      <c r="D307" s="9" t="s">
        <v>41</v>
      </c>
      <c r="E307" s="88" t="s">
        <v>175</v>
      </c>
      <c r="F307" s="88">
        <v>1</v>
      </c>
      <c r="G307" s="29">
        <v>2207</v>
      </c>
      <c r="H307" s="136">
        <v>0.52</v>
      </c>
      <c r="I307" s="137">
        <v>0.05</v>
      </c>
      <c r="J307" s="139">
        <v>1008.91</v>
      </c>
      <c r="K307" s="140">
        <f>+J307*I307</f>
        <v>50.445500000000003</v>
      </c>
      <c r="L307" s="140">
        <f t="shared" si="314"/>
        <v>1059.3554999999999</v>
      </c>
      <c r="M307" s="29">
        <v>1324</v>
      </c>
      <c r="N307" s="29">
        <v>1324</v>
      </c>
      <c r="O307" s="71">
        <v>0.05</v>
      </c>
      <c r="P307" s="52">
        <f>+N307*0.952380952380952</f>
        <v>1260.9523809523805</v>
      </c>
      <c r="Q307" s="52">
        <f>+P307*5%</f>
        <v>63.04761904761903</v>
      </c>
      <c r="R307" s="52">
        <f t="shared" si="318"/>
        <v>1323.9999999999995</v>
      </c>
      <c r="S307" s="28" t="s">
        <v>371</v>
      </c>
      <c r="T307" s="30" t="s">
        <v>10</v>
      </c>
      <c r="U307" s="31" t="s">
        <v>371</v>
      </c>
      <c r="V307" s="31" t="s">
        <v>371</v>
      </c>
      <c r="W307" s="41"/>
      <c r="X307" s="92"/>
      <c r="Z307" s="46"/>
      <c r="AA307" s="46"/>
      <c r="AB307" s="46"/>
    </row>
    <row r="308" spans="1:32" s="32" customFormat="1" ht="18" customHeight="1" x14ac:dyDescent="0.4">
      <c r="A308" s="33">
        <v>311</v>
      </c>
      <c r="B308" s="13" t="s">
        <v>36</v>
      </c>
      <c r="C308" s="13" t="s">
        <v>33</v>
      </c>
      <c r="D308" s="9" t="s">
        <v>18</v>
      </c>
      <c r="E308" s="176" t="s">
        <v>175</v>
      </c>
      <c r="F308" s="176">
        <v>1</v>
      </c>
      <c r="G308" s="29">
        <v>9000</v>
      </c>
      <c r="H308" s="60">
        <v>0.52</v>
      </c>
      <c r="I308" s="65">
        <v>0.18</v>
      </c>
      <c r="J308" s="68">
        <v>3661.02</v>
      </c>
      <c r="K308" s="68">
        <f t="shared" ref="K308" si="319">+I308*J308</f>
        <v>658.98360000000002</v>
      </c>
      <c r="L308" s="68">
        <f>+J308+K308</f>
        <v>4320.0036</v>
      </c>
      <c r="M308" s="6">
        <v>4206.6000000000004</v>
      </c>
      <c r="N308" s="6">
        <v>4206.6000000000004</v>
      </c>
      <c r="O308" s="58">
        <v>0.18</v>
      </c>
      <c r="P308" s="51">
        <f>+N308*0.847457627118644</f>
        <v>3564.9152542372881</v>
      </c>
      <c r="Q308" s="51">
        <f>+P308*18%</f>
        <v>641.68474576271183</v>
      </c>
      <c r="R308" s="51">
        <f>+P308+Q308</f>
        <v>4206.6000000000004</v>
      </c>
      <c r="S308" s="10" t="s">
        <v>372</v>
      </c>
      <c r="T308" s="10" t="s">
        <v>10</v>
      </c>
      <c r="U308" s="11" t="s">
        <v>234</v>
      </c>
      <c r="V308" s="36" t="s">
        <v>234</v>
      </c>
      <c r="W308" s="41"/>
      <c r="X308" s="41"/>
      <c r="Z308" s="46"/>
      <c r="AA308" s="46"/>
      <c r="AB308" s="46"/>
    </row>
    <row r="309" spans="1:32" s="32" customFormat="1" ht="18" customHeight="1" x14ac:dyDescent="0.4">
      <c r="A309" s="33">
        <v>312</v>
      </c>
      <c r="B309" s="13" t="s">
        <v>36</v>
      </c>
      <c r="C309" s="13" t="s">
        <v>33</v>
      </c>
      <c r="D309" s="9" t="s">
        <v>12</v>
      </c>
      <c r="E309" s="176" t="s">
        <v>175</v>
      </c>
      <c r="F309" s="176">
        <v>1</v>
      </c>
      <c r="G309" s="29">
        <v>9000</v>
      </c>
      <c r="H309" s="60">
        <v>0.52</v>
      </c>
      <c r="I309" s="65">
        <v>0.18</v>
      </c>
      <c r="J309" s="68">
        <v>3661.02</v>
      </c>
      <c r="K309" s="68">
        <f t="shared" ref="K309" si="320">+I309*J309</f>
        <v>658.98360000000002</v>
      </c>
      <c r="L309" s="68">
        <f>+J309+K309</f>
        <v>4320.0036</v>
      </c>
      <c r="M309" s="6">
        <v>4206.6000000000004</v>
      </c>
      <c r="N309" s="6">
        <v>4206.6000000000004</v>
      </c>
      <c r="O309" s="58">
        <v>0.18</v>
      </c>
      <c r="P309" s="51">
        <f>+N309*0.847457627118644</f>
        <v>3564.9152542372881</v>
      </c>
      <c r="Q309" s="51">
        <f>+P309*18%</f>
        <v>641.68474576271183</v>
      </c>
      <c r="R309" s="51">
        <f>+P309+Q309</f>
        <v>4206.6000000000004</v>
      </c>
      <c r="S309" s="10" t="s">
        <v>372</v>
      </c>
      <c r="T309" s="10" t="s">
        <v>10</v>
      </c>
      <c r="U309" s="11" t="s">
        <v>234</v>
      </c>
      <c r="V309" s="36" t="s">
        <v>234</v>
      </c>
      <c r="W309" s="41"/>
      <c r="X309" s="41"/>
      <c r="Z309" s="46"/>
      <c r="AA309" s="46"/>
      <c r="AB309" s="46"/>
    </row>
    <row r="310" spans="1:32" s="32" customFormat="1" ht="18" customHeight="1" x14ac:dyDescent="0.4">
      <c r="A310" s="27">
        <v>313</v>
      </c>
      <c r="B310" s="177" t="s">
        <v>36</v>
      </c>
      <c r="C310" s="177" t="s">
        <v>90</v>
      </c>
      <c r="D310" s="28" t="s">
        <v>20</v>
      </c>
      <c r="E310" s="135" t="s">
        <v>175</v>
      </c>
      <c r="F310" s="135">
        <v>1</v>
      </c>
      <c r="G310" s="29">
        <v>8010</v>
      </c>
      <c r="H310" s="136">
        <v>0.52</v>
      </c>
      <c r="I310" s="137">
        <v>0.18</v>
      </c>
      <c r="J310" s="70">
        <v>3258.31</v>
      </c>
      <c r="K310" s="70">
        <f>+I310*J310</f>
        <v>586.49579999999992</v>
      </c>
      <c r="L310" s="70">
        <f t="shared" ref="L310:L312" si="321">+J310+K310</f>
        <v>3844.8058000000001</v>
      </c>
      <c r="M310" s="29">
        <v>4806</v>
      </c>
      <c r="N310" s="29">
        <v>4806</v>
      </c>
      <c r="O310" s="71">
        <v>0.18</v>
      </c>
      <c r="P310" s="52">
        <f>+N310*0.847457627118644</f>
        <v>4072.8813559322034</v>
      </c>
      <c r="Q310" s="52">
        <f>+P310*18%</f>
        <v>733.11864406779659</v>
      </c>
      <c r="R310" s="52">
        <f t="shared" ref="R310:R312" si="322">+P310+Q310</f>
        <v>4806</v>
      </c>
      <c r="S310" s="10" t="s">
        <v>372</v>
      </c>
      <c r="T310" s="10" t="s">
        <v>10</v>
      </c>
      <c r="U310" s="11" t="s">
        <v>234</v>
      </c>
      <c r="V310" s="36" t="s">
        <v>234</v>
      </c>
      <c r="W310" s="41"/>
      <c r="X310" s="41"/>
      <c r="Z310" s="46"/>
      <c r="AA310" s="46"/>
      <c r="AB310" s="46"/>
    </row>
    <row r="311" spans="1:32" s="32" customFormat="1" ht="18" customHeight="1" x14ac:dyDescent="0.4">
      <c r="A311" s="8">
        <v>314</v>
      </c>
      <c r="B311" s="13" t="s">
        <v>36</v>
      </c>
      <c r="C311" s="13" t="s">
        <v>82</v>
      </c>
      <c r="D311" s="9" t="s">
        <v>16</v>
      </c>
      <c r="E311" s="88" t="s">
        <v>175</v>
      </c>
      <c r="F311" s="88">
        <v>1</v>
      </c>
      <c r="G311" s="29">
        <v>8010</v>
      </c>
      <c r="H311" s="60">
        <v>0.52</v>
      </c>
      <c r="I311" s="65">
        <v>0.18</v>
      </c>
      <c r="J311" s="68">
        <v>3529.83</v>
      </c>
      <c r="K311" s="68">
        <f t="shared" ref="K311:K312" si="323">+I311*J311</f>
        <v>635.36939999999993</v>
      </c>
      <c r="L311" s="68">
        <f t="shared" si="321"/>
        <v>4165.1993999999995</v>
      </c>
      <c r="M311" s="29">
        <v>4806</v>
      </c>
      <c r="N311" s="29">
        <v>4806</v>
      </c>
      <c r="O311" s="58">
        <v>0.18</v>
      </c>
      <c r="P311" s="51">
        <f t="shared" ref="P311:P312" si="324">+N311*0.952380952380952</f>
        <v>4577.1428571428551</v>
      </c>
      <c r="Q311" s="51">
        <f t="shared" ref="Q311:Q312" si="325">+P311*5%</f>
        <v>228.85714285714278</v>
      </c>
      <c r="R311" s="51">
        <f t="shared" si="322"/>
        <v>4805.9999999999982</v>
      </c>
      <c r="S311" s="10" t="s">
        <v>372</v>
      </c>
      <c r="T311" s="10" t="s">
        <v>10</v>
      </c>
      <c r="U311" s="11" t="s">
        <v>234</v>
      </c>
      <c r="V311" s="36" t="s">
        <v>234</v>
      </c>
      <c r="W311" s="41"/>
      <c r="X311" s="41"/>
      <c r="Z311" s="46"/>
      <c r="AA311" s="46"/>
      <c r="AB311" s="46"/>
    </row>
    <row r="312" spans="1:32" s="32" customFormat="1" ht="18" customHeight="1" x14ac:dyDescent="0.4">
      <c r="A312" s="8">
        <v>315</v>
      </c>
      <c r="B312" s="53" t="s">
        <v>96</v>
      </c>
      <c r="C312" s="5" t="s">
        <v>165</v>
      </c>
      <c r="D312" s="28" t="s">
        <v>41</v>
      </c>
      <c r="E312" s="88" t="s">
        <v>175</v>
      </c>
      <c r="F312" s="88">
        <v>1</v>
      </c>
      <c r="G312" s="29">
        <v>2799</v>
      </c>
      <c r="H312" s="60">
        <v>0.52</v>
      </c>
      <c r="I312" s="65">
        <v>0.05</v>
      </c>
      <c r="J312" s="68">
        <v>1279.54</v>
      </c>
      <c r="K312" s="68">
        <f t="shared" si="323"/>
        <v>63.977000000000004</v>
      </c>
      <c r="L312" s="68">
        <f t="shared" si="321"/>
        <v>1343.5170000000001</v>
      </c>
      <c r="M312" s="6">
        <v>1680</v>
      </c>
      <c r="N312" s="6">
        <v>1680</v>
      </c>
      <c r="O312" s="58">
        <v>0.05</v>
      </c>
      <c r="P312" s="51">
        <f t="shared" si="324"/>
        <v>1599.9999999999993</v>
      </c>
      <c r="Q312" s="51">
        <f t="shared" si="325"/>
        <v>79.999999999999972</v>
      </c>
      <c r="R312" s="51">
        <f t="shared" si="322"/>
        <v>1679.9999999999993</v>
      </c>
      <c r="S312" s="9" t="s">
        <v>373</v>
      </c>
      <c r="T312" s="10" t="s">
        <v>10</v>
      </c>
      <c r="U312" s="11" t="s">
        <v>25</v>
      </c>
      <c r="V312" s="11" t="s">
        <v>25</v>
      </c>
      <c r="W312" s="41"/>
      <c r="X312" s="41"/>
      <c r="Z312" s="46"/>
      <c r="AA312" s="46"/>
      <c r="AB312" s="46"/>
    </row>
    <row r="313" spans="1:32" s="32" customFormat="1" ht="18" customHeight="1" x14ac:dyDescent="0.4">
      <c r="A313" s="33"/>
      <c r="B313" s="53"/>
      <c r="C313" s="53"/>
      <c r="D313" s="9"/>
      <c r="E313" s="192"/>
      <c r="F313" s="192"/>
      <c r="G313" s="29"/>
      <c r="H313" s="60"/>
      <c r="I313" s="65"/>
      <c r="J313" s="68"/>
      <c r="K313" s="68"/>
      <c r="L313" s="68"/>
      <c r="M313" s="6"/>
      <c r="N313" s="6"/>
      <c r="O313" s="58"/>
      <c r="P313" s="51"/>
      <c r="Q313" s="51"/>
      <c r="R313" s="51"/>
      <c r="S313" s="9"/>
      <c r="T313" s="10"/>
      <c r="U313" s="11"/>
      <c r="V313" s="37"/>
      <c r="W313" s="41"/>
      <c r="X313" s="41"/>
      <c r="Z313" s="46"/>
      <c r="AA313" s="46"/>
      <c r="AB313" s="46"/>
    </row>
    <row r="314" spans="1:32" s="32" customFormat="1" ht="18" customHeight="1" x14ac:dyDescent="0.4">
      <c r="A314" s="27"/>
      <c r="B314" s="5"/>
      <c r="C314" s="5"/>
      <c r="D314" s="28"/>
      <c r="E314" s="48"/>
      <c r="F314" s="48"/>
      <c r="G314" s="108"/>
      <c r="H314" s="48"/>
      <c r="I314" s="69"/>
      <c r="J314" s="70"/>
      <c r="K314" s="70"/>
      <c r="L314" s="70"/>
      <c r="M314" s="29"/>
      <c r="N314" s="29"/>
      <c r="O314" s="52"/>
      <c r="P314" s="52"/>
      <c r="Q314" s="52"/>
      <c r="R314" s="52"/>
      <c r="S314" s="34"/>
      <c r="T314" s="30"/>
      <c r="U314" s="31"/>
      <c r="V314" s="38"/>
      <c r="W314" s="41"/>
      <c r="X314" s="41"/>
      <c r="Z314" s="46"/>
      <c r="AA314" s="46"/>
      <c r="AB314" s="46"/>
    </row>
    <row r="315" spans="1:32" s="83" customFormat="1" ht="18" customHeight="1" thickBot="1" x14ac:dyDescent="0.4">
      <c r="A315" s="73"/>
      <c r="B315" s="74"/>
      <c r="C315" s="74"/>
      <c r="D315" s="75"/>
      <c r="E315" s="75"/>
      <c r="F315" s="75"/>
      <c r="G315" s="75"/>
      <c r="H315" s="75"/>
      <c r="I315" s="76"/>
      <c r="J315" s="77">
        <f>SUM(J3:J314)</f>
        <v>537762.78499999957</v>
      </c>
      <c r="K315" s="77">
        <f>SUM(K3:K314)</f>
        <v>60285.389239999851</v>
      </c>
      <c r="L315" s="77">
        <f>SUM(L3:L314)</f>
        <v>598048.17424000043</v>
      </c>
      <c r="M315" s="78"/>
      <c r="N315" s="78"/>
      <c r="O315" s="79"/>
      <c r="P315" s="79">
        <f>SUM(P12:P314)</f>
        <v>703351.20860613405</v>
      </c>
      <c r="Q315" s="79">
        <f>SUM(Q12:Q314)</f>
        <v>69919.079803865956</v>
      </c>
      <c r="R315" s="79">
        <f>SUM(R12:R314)</f>
        <v>773270.28840999992</v>
      </c>
      <c r="S315" s="78"/>
      <c r="T315" s="75"/>
      <c r="U315" s="80"/>
      <c r="V315" s="81"/>
      <c r="W315" s="82"/>
      <c r="X315" s="80"/>
      <c r="Z315" s="84"/>
      <c r="AA315" s="84"/>
      <c r="AB315" s="84"/>
      <c r="AC315" s="85"/>
      <c r="AD315" s="85"/>
      <c r="AE315" s="85"/>
      <c r="AF315" s="85"/>
    </row>
    <row r="317" spans="1:32" x14ac:dyDescent="0.35">
      <c r="G317" s="109"/>
    </row>
    <row r="318" spans="1:32" x14ac:dyDescent="0.35">
      <c r="G318" s="109"/>
      <c r="P318">
        <f>+P251/4</f>
        <v>199.76190476190467</v>
      </c>
    </row>
    <row r="319" spans="1:32" x14ac:dyDescent="0.35">
      <c r="G319" s="109"/>
      <c r="H319" s="109"/>
      <c r="P319" s="72"/>
    </row>
    <row r="320" spans="1:32" x14ac:dyDescent="0.35">
      <c r="G320" s="109"/>
      <c r="P320" s="72"/>
    </row>
    <row r="321" spans="16:16" x14ac:dyDescent="0.35">
      <c r="P321" s="72"/>
    </row>
    <row r="322" spans="16:16" x14ac:dyDescent="0.35">
      <c r="P322" s="72">
        <f>+P245/4</f>
        <v>171.42857142857136</v>
      </c>
    </row>
  </sheetData>
  <autoFilter ref="A2:AF306" xr:uid="{99E8F126-DFA1-49B3-AB61-CBDAC836AD2A}"/>
  <mergeCells count="1">
    <mergeCell ref="A1:X1"/>
  </mergeCells>
  <pageMargins left="0.70866141732283472" right="0.70866141732283472" top="0.74803149606299213" bottom="0.74803149606299213" header="0.31496062992125984" footer="0.31496062992125984"/>
  <pageSetup scale="1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C6D9-D848-4A13-BC3C-9B098CC62173}">
  <dimension ref="D2:E9"/>
  <sheetViews>
    <sheetView workbookViewId="0">
      <selection activeCell="D14" sqref="D14"/>
    </sheetView>
  </sheetViews>
  <sheetFormatPr defaultRowHeight="14.5" x14ac:dyDescent="0.35"/>
  <cols>
    <col min="4" max="4" width="59.54296875" bestFit="1" customWidth="1"/>
    <col min="5" max="5" width="9.7265625" bestFit="1" customWidth="1"/>
  </cols>
  <sheetData>
    <row r="2" spans="4:5" x14ac:dyDescent="0.35">
      <c r="D2" s="174" t="s">
        <v>301</v>
      </c>
      <c r="E2" s="174" t="s">
        <v>300</v>
      </c>
    </row>
    <row r="3" spans="4:5" x14ac:dyDescent="0.35">
      <c r="D3" s="175" t="s">
        <v>307</v>
      </c>
      <c r="E3" s="171">
        <v>20653</v>
      </c>
    </row>
    <row r="4" spans="4:5" x14ac:dyDescent="0.35">
      <c r="D4" s="175" t="s">
        <v>303</v>
      </c>
      <c r="E4" s="171">
        <v>984</v>
      </c>
    </row>
    <row r="5" spans="4:5" x14ac:dyDescent="0.35">
      <c r="D5" s="175" t="s">
        <v>302</v>
      </c>
      <c r="E5" s="171">
        <v>1500</v>
      </c>
    </row>
    <row r="6" spans="4:5" x14ac:dyDescent="0.35">
      <c r="D6" s="175" t="s">
        <v>304</v>
      </c>
      <c r="E6" s="171">
        <v>2309</v>
      </c>
    </row>
    <row r="7" spans="4:5" x14ac:dyDescent="0.35">
      <c r="D7" s="175" t="s">
        <v>305</v>
      </c>
      <c r="E7" s="171">
        <v>1180</v>
      </c>
    </row>
    <row r="8" spans="4:5" x14ac:dyDescent="0.35">
      <c r="D8" s="175" t="s">
        <v>306</v>
      </c>
      <c r="E8" s="171">
        <v>1717.1</v>
      </c>
    </row>
    <row r="9" spans="4:5" x14ac:dyDescent="0.35">
      <c r="D9" s="172" t="s">
        <v>299</v>
      </c>
      <c r="E9" s="173">
        <f>SUM(E3:E8)</f>
        <v>28343.1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1896-CEF0-445B-BD54-E08887C0A53C}">
  <dimension ref="B2:M20"/>
  <sheetViews>
    <sheetView workbookViewId="0">
      <selection activeCell="F15" sqref="F15"/>
    </sheetView>
  </sheetViews>
  <sheetFormatPr defaultColWidth="15" defaultRowHeight="12.5" x14ac:dyDescent="0.25"/>
  <cols>
    <col min="1" max="1" width="15" style="148"/>
    <col min="2" max="2" width="5.54296875" style="148" bestFit="1" customWidth="1"/>
    <col min="3" max="3" width="12.1796875" style="148" bestFit="1" customWidth="1"/>
    <col min="4" max="4" width="5.7265625" style="148" bestFit="1" customWidth="1"/>
    <col min="5" max="5" width="3.7265625" style="148" bestFit="1" customWidth="1"/>
    <col min="6" max="6" width="3.81640625" style="148" bestFit="1" customWidth="1"/>
    <col min="7" max="7" width="18.453125" style="168" bestFit="1" customWidth="1"/>
    <col min="8" max="8" width="13.81640625" style="148" bestFit="1" customWidth="1"/>
    <col min="9" max="9" width="4.54296875" style="148" bestFit="1" customWidth="1"/>
    <col min="10" max="11" width="14.81640625" style="148" bestFit="1" customWidth="1"/>
    <col min="12" max="12" width="28.81640625" style="148" bestFit="1" customWidth="1"/>
    <col min="13" max="13" width="16.453125" style="148" bestFit="1" customWidth="1"/>
    <col min="14" max="16384" width="15" style="148"/>
  </cols>
  <sheetData>
    <row r="2" spans="2:13" ht="13" x14ac:dyDescent="0.3">
      <c r="B2" s="156" t="s">
        <v>0</v>
      </c>
      <c r="C2" s="156" t="s">
        <v>28</v>
      </c>
      <c r="D2" s="157" t="s">
        <v>3</v>
      </c>
      <c r="E2" s="157" t="s">
        <v>104</v>
      </c>
      <c r="F2" s="157" t="s">
        <v>137</v>
      </c>
      <c r="G2" s="165" t="s">
        <v>106</v>
      </c>
      <c r="H2" s="157" t="s">
        <v>1</v>
      </c>
      <c r="I2" s="157" t="s">
        <v>6</v>
      </c>
      <c r="J2" s="157" t="s">
        <v>105</v>
      </c>
      <c r="K2" s="157" t="s">
        <v>73</v>
      </c>
      <c r="L2" s="157" t="s">
        <v>60</v>
      </c>
      <c r="M2" s="157" t="s">
        <v>77</v>
      </c>
    </row>
    <row r="3" spans="2:13" x14ac:dyDescent="0.25">
      <c r="B3" s="153">
        <v>70</v>
      </c>
      <c r="C3" s="149" t="s">
        <v>31</v>
      </c>
      <c r="D3" s="150" t="s">
        <v>20</v>
      </c>
      <c r="E3" s="158" t="s">
        <v>107</v>
      </c>
      <c r="F3" s="158">
        <v>1</v>
      </c>
      <c r="G3" s="166">
        <v>983.99999999999966</v>
      </c>
      <c r="H3" s="154" t="s">
        <v>11</v>
      </c>
      <c r="I3" s="155" t="s">
        <v>10</v>
      </c>
      <c r="J3" s="155" t="s">
        <v>89</v>
      </c>
      <c r="K3" s="155" t="s">
        <v>157</v>
      </c>
      <c r="L3" s="162" t="s">
        <v>266</v>
      </c>
      <c r="M3" s="159"/>
    </row>
    <row r="4" spans="2:13" x14ac:dyDescent="0.25">
      <c r="B4" s="153">
        <v>73</v>
      </c>
      <c r="C4" s="149" t="s">
        <v>49</v>
      </c>
      <c r="D4" s="150" t="s">
        <v>20</v>
      </c>
      <c r="E4" s="158" t="s">
        <v>107</v>
      </c>
      <c r="F4" s="158">
        <v>1</v>
      </c>
      <c r="G4" s="166">
        <v>1500</v>
      </c>
      <c r="H4" s="154" t="s">
        <v>88</v>
      </c>
      <c r="I4" s="155" t="s">
        <v>7</v>
      </c>
      <c r="J4" s="155" t="s">
        <v>89</v>
      </c>
      <c r="K4" s="155" t="s">
        <v>157</v>
      </c>
      <c r="L4" s="162" t="s">
        <v>266</v>
      </c>
      <c r="M4" s="159"/>
    </row>
    <row r="5" spans="2:13" x14ac:dyDescent="0.25">
      <c r="B5" s="153">
        <v>80</v>
      </c>
      <c r="C5" s="149" t="s">
        <v>97</v>
      </c>
      <c r="D5" s="150" t="s">
        <v>18</v>
      </c>
      <c r="E5" s="160" t="s">
        <v>116</v>
      </c>
      <c r="F5" s="160">
        <v>1</v>
      </c>
      <c r="G5" s="167">
        <v>2308.9999999999991</v>
      </c>
      <c r="H5" s="154" t="s">
        <v>98</v>
      </c>
      <c r="I5" s="155" t="s">
        <v>7</v>
      </c>
      <c r="J5" s="155" t="s">
        <v>89</v>
      </c>
      <c r="K5" s="155" t="s">
        <v>157</v>
      </c>
      <c r="L5" s="162" t="s">
        <v>266</v>
      </c>
      <c r="M5" s="161"/>
    </row>
    <row r="6" spans="2:13" x14ac:dyDescent="0.25">
      <c r="B6" s="153">
        <v>167</v>
      </c>
      <c r="C6" s="152" t="s">
        <v>34</v>
      </c>
      <c r="D6" s="150" t="s">
        <v>42</v>
      </c>
      <c r="E6" s="158" t="s">
        <v>107</v>
      </c>
      <c r="F6" s="158">
        <v>1</v>
      </c>
      <c r="G6" s="166">
        <v>3149.9999999999995</v>
      </c>
      <c r="H6" s="154"/>
      <c r="I6" s="155" t="s">
        <v>7</v>
      </c>
      <c r="J6" s="155" t="s">
        <v>170</v>
      </c>
      <c r="K6" s="155" t="s">
        <v>170</v>
      </c>
      <c r="L6" s="163" t="s">
        <v>266</v>
      </c>
      <c r="M6" s="161" t="s">
        <v>171</v>
      </c>
    </row>
    <row r="7" spans="2:13" x14ac:dyDescent="0.25">
      <c r="B7" s="153">
        <v>168</v>
      </c>
      <c r="C7" s="149" t="s">
        <v>31</v>
      </c>
      <c r="D7" s="150" t="s">
        <v>41</v>
      </c>
      <c r="E7" s="158" t="s">
        <v>107</v>
      </c>
      <c r="F7" s="158">
        <v>1</v>
      </c>
      <c r="G7" s="166">
        <v>1278.9999999999995</v>
      </c>
      <c r="H7" s="154"/>
      <c r="I7" s="155" t="s">
        <v>7</v>
      </c>
      <c r="J7" s="155" t="s">
        <v>170</v>
      </c>
      <c r="K7" s="155" t="s">
        <v>170</v>
      </c>
      <c r="L7" s="163" t="s">
        <v>266</v>
      </c>
      <c r="M7" s="161" t="s">
        <v>171</v>
      </c>
    </row>
    <row r="8" spans="2:13" x14ac:dyDescent="0.25">
      <c r="B8" s="153">
        <v>169</v>
      </c>
      <c r="C8" s="149" t="s">
        <v>112</v>
      </c>
      <c r="D8" s="150" t="s">
        <v>16</v>
      </c>
      <c r="E8" s="160" t="s">
        <v>116</v>
      </c>
      <c r="F8" s="160">
        <v>1</v>
      </c>
      <c r="G8" s="166">
        <v>1999.9999999999991</v>
      </c>
      <c r="H8" s="155"/>
      <c r="I8" s="155" t="s">
        <v>7</v>
      </c>
      <c r="J8" s="155" t="s">
        <v>170</v>
      </c>
      <c r="K8" s="155" t="s">
        <v>170</v>
      </c>
      <c r="L8" s="163" t="s">
        <v>266</v>
      </c>
      <c r="M8" s="161" t="s">
        <v>171</v>
      </c>
    </row>
    <row r="9" spans="2:13" x14ac:dyDescent="0.25">
      <c r="B9" s="153">
        <v>171</v>
      </c>
      <c r="C9" s="149" t="s">
        <v>31</v>
      </c>
      <c r="D9" s="150" t="s">
        <v>4</v>
      </c>
      <c r="E9" s="160" t="s">
        <v>116</v>
      </c>
      <c r="F9" s="160">
        <v>1</v>
      </c>
      <c r="G9" s="166">
        <v>1376.9999999999993</v>
      </c>
      <c r="H9" s="154"/>
      <c r="I9" s="155" t="s">
        <v>7</v>
      </c>
      <c r="J9" s="155" t="s">
        <v>170</v>
      </c>
      <c r="K9" s="155" t="s">
        <v>170</v>
      </c>
      <c r="L9" s="163" t="s">
        <v>266</v>
      </c>
      <c r="M9" s="161" t="s">
        <v>171</v>
      </c>
    </row>
    <row r="10" spans="2:13" x14ac:dyDescent="0.25">
      <c r="B10" s="153">
        <v>176</v>
      </c>
      <c r="C10" s="149" t="s">
        <v>112</v>
      </c>
      <c r="D10" s="150" t="s">
        <v>20</v>
      </c>
      <c r="E10" s="160" t="s">
        <v>116</v>
      </c>
      <c r="F10" s="160">
        <v>1</v>
      </c>
      <c r="G10" s="166">
        <v>2099.9999999999991</v>
      </c>
      <c r="H10" s="155"/>
      <c r="I10" s="155" t="s">
        <v>7</v>
      </c>
      <c r="J10" s="155" t="s">
        <v>170</v>
      </c>
      <c r="K10" s="155" t="s">
        <v>170</v>
      </c>
      <c r="L10" s="164" t="s">
        <v>297</v>
      </c>
      <c r="M10" s="161" t="s">
        <v>172</v>
      </c>
    </row>
    <row r="11" spans="2:13" x14ac:dyDescent="0.25">
      <c r="B11" s="153">
        <v>179</v>
      </c>
      <c r="C11" s="149" t="s">
        <v>52</v>
      </c>
      <c r="D11" s="150" t="s">
        <v>16</v>
      </c>
      <c r="E11" s="160" t="s">
        <v>116</v>
      </c>
      <c r="F11" s="160">
        <v>1</v>
      </c>
      <c r="G11" s="166">
        <v>4206</v>
      </c>
      <c r="H11" s="154"/>
      <c r="I11" s="155" t="s">
        <v>7</v>
      </c>
      <c r="J11" s="155" t="s">
        <v>170</v>
      </c>
      <c r="K11" s="155" t="s">
        <v>170</v>
      </c>
      <c r="L11" s="164" t="s">
        <v>297</v>
      </c>
      <c r="M11" s="161" t="s">
        <v>172</v>
      </c>
    </row>
    <row r="12" spans="2:13" x14ac:dyDescent="0.25">
      <c r="B12" s="153">
        <v>182</v>
      </c>
      <c r="C12" s="149" t="s">
        <v>29</v>
      </c>
      <c r="D12" s="150" t="s">
        <v>20</v>
      </c>
      <c r="E12" s="158" t="s">
        <v>107</v>
      </c>
      <c r="F12" s="158">
        <v>1</v>
      </c>
      <c r="G12" s="166">
        <v>1544.9999999999993</v>
      </c>
      <c r="H12" s="150" t="s">
        <v>181</v>
      </c>
      <c r="I12" s="153" t="s">
        <v>7</v>
      </c>
      <c r="J12" s="153" t="s">
        <v>170</v>
      </c>
      <c r="K12" s="153" t="s">
        <v>170</v>
      </c>
      <c r="L12" s="164" t="s">
        <v>297</v>
      </c>
      <c r="M12" s="161" t="s">
        <v>172</v>
      </c>
    </row>
    <row r="13" spans="2:13" x14ac:dyDescent="0.25">
      <c r="B13" s="153">
        <v>183</v>
      </c>
      <c r="C13" s="149" t="s">
        <v>29</v>
      </c>
      <c r="D13" s="150" t="s">
        <v>20</v>
      </c>
      <c r="E13" s="158" t="s">
        <v>107</v>
      </c>
      <c r="F13" s="158">
        <v>1</v>
      </c>
      <c r="G13" s="166">
        <v>1544.9999999999993</v>
      </c>
      <c r="H13" s="150" t="s">
        <v>181</v>
      </c>
      <c r="I13" s="153" t="s">
        <v>7</v>
      </c>
      <c r="J13" s="153" t="s">
        <v>170</v>
      </c>
      <c r="K13" s="153" t="s">
        <v>170</v>
      </c>
      <c r="L13" s="164" t="s">
        <v>297</v>
      </c>
      <c r="M13" s="161" t="s">
        <v>172</v>
      </c>
    </row>
    <row r="14" spans="2:13" x14ac:dyDescent="0.25">
      <c r="B14" s="153">
        <v>185</v>
      </c>
      <c r="C14" s="149" t="s">
        <v>112</v>
      </c>
      <c r="D14" s="150" t="s">
        <v>20</v>
      </c>
      <c r="E14" s="160" t="s">
        <v>116</v>
      </c>
      <c r="F14" s="160">
        <v>1</v>
      </c>
      <c r="G14" s="166">
        <v>2099.9999999999991</v>
      </c>
      <c r="H14" s="153"/>
      <c r="I14" s="153" t="s">
        <v>7</v>
      </c>
      <c r="J14" s="153" t="s">
        <v>170</v>
      </c>
      <c r="K14" s="153" t="s">
        <v>170</v>
      </c>
      <c r="L14" s="164" t="s">
        <v>297</v>
      </c>
      <c r="M14" s="161" t="s">
        <v>172</v>
      </c>
    </row>
    <row r="15" spans="2:13" x14ac:dyDescent="0.25">
      <c r="B15" s="153">
        <v>188</v>
      </c>
      <c r="C15" s="149" t="s">
        <v>32</v>
      </c>
      <c r="D15" s="150" t="s">
        <v>41</v>
      </c>
      <c r="E15" s="160" t="s">
        <v>116</v>
      </c>
      <c r="F15" s="160">
        <v>1</v>
      </c>
      <c r="G15" s="166">
        <v>1180.9999999999995</v>
      </c>
      <c r="H15" s="150"/>
      <c r="I15" s="153" t="s">
        <v>7</v>
      </c>
      <c r="J15" s="153" t="s">
        <v>170</v>
      </c>
      <c r="K15" s="153" t="s">
        <v>170</v>
      </c>
      <c r="L15" s="164" t="s">
        <v>297</v>
      </c>
      <c r="M15" s="161" t="s">
        <v>172</v>
      </c>
    </row>
    <row r="16" spans="2:13" x14ac:dyDescent="0.25">
      <c r="B16" s="153">
        <v>193</v>
      </c>
      <c r="C16" s="149"/>
      <c r="D16" s="150"/>
      <c r="E16" s="160"/>
      <c r="F16" s="160">
        <v>1</v>
      </c>
      <c r="G16" s="166">
        <v>169.99999999999994</v>
      </c>
      <c r="H16" s="153"/>
      <c r="I16" s="153" t="s">
        <v>7</v>
      </c>
      <c r="J16" s="153" t="s">
        <v>170</v>
      </c>
      <c r="K16" s="153" t="s">
        <v>170</v>
      </c>
      <c r="L16" s="164" t="s">
        <v>297</v>
      </c>
      <c r="M16" s="161" t="s">
        <v>172</v>
      </c>
    </row>
    <row r="17" spans="2:13" x14ac:dyDescent="0.25">
      <c r="B17" s="153">
        <v>213</v>
      </c>
      <c r="C17" s="149" t="s">
        <v>32</v>
      </c>
      <c r="D17" s="150" t="s">
        <v>4</v>
      </c>
      <c r="E17" s="160" t="s">
        <v>116</v>
      </c>
      <c r="F17" s="160">
        <v>1</v>
      </c>
      <c r="G17" s="166">
        <v>1179.9999999999995</v>
      </c>
      <c r="H17" s="150" t="s">
        <v>237</v>
      </c>
      <c r="I17" s="153" t="s">
        <v>7</v>
      </c>
      <c r="J17" s="153" t="s">
        <v>235</v>
      </c>
      <c r="K17" s="153" t="s">
        <v>236</v>
      </c>
      <c r="L17" s="163" t="s">
        <v>266</v>
      </c>
      <c r="M17" s="161" t="s">
        <v>238</v>
      </c>
    </row>
    <row r="18" spans="2:13" x14ac:dyDescent="0.25">
      <c r="B18" s="153">
        <v>219</v>
      </c>
      <c r="C18" s="149" t="s">
        <v>31</v>
      </c>
      <c r="D18" s="150" t="s">
        <v>20</v>
      </c>
      <c r="E18" s="160" t="s">
        <v>175</v>
      </c>
      <c r="F18" s="160">
        <v>1</v>
      </c>
      <c r="G18" s="166">
        <v>1376.8999999999994</v>
      </c>
      <c r="H18" s="153" t="s">
        <v>254</v>
      </c>
      <c r="I18" s="153" t="s">
        <v>7</v>
      </c>
      <c r="J18" s="153" t="s">
        <v>255</v>
      </c>
      <c r="K18" s="153" t="s">
        <v>255</v>
      </c>
      <c r="L18" s="163" t="s">
        <v>266</v>
      </c>
      <c r="M18" s="161" t="s">
        <v>256</v>
      </c>
    </row>
    <row r="19" spans="2:13" x14ac:dyDescent="0.25">
      <c r="B19" s="153">
        <v>220</v>
      </c>
      <c r="C19" s="149"/>
      <c r="D19" s="150"/>
      <c r="E19" s="160" t="s">
        <v>116</v>
      </c>
      <c r="F19" s="160">
        <v>2</v>
      </c>
      <c r="G19" s="166">
        <v>340.19999999999987</v>
      </c>
      <c r="H19" s="153" t="s">
        <v>254</v>
      </c>
      <c r="I19" s="153" t="s">
        <v>7</v>
      </c>
      <c r="J19" s="153" t="s">
        <v>255</v>
      </c>
      <c r="K19" s="153" t="s">
        <v>255</v>
      </c>
      <c r="L19" s="163" t="s">
        <v>266</v>
      </c>
      <c r="M19" s="161" t="s">
        <v>256</v>
      </c>
    </row>
    <row r="20" spans="2:13" s="151" customFormat="1" ht="13" x14ac:dyDescent="0.3">
      <c r="B20" s="169"/>
      <c r="C20" s="169" t="s">
        <v>298</v>
      </c>
      <c r="D20" s="169"/>
      <c r="E20" s="169"/>
      <c r="F20" s="169"/>
      <c r="G20" s="170">
        <f>SUM(G3:G19)</f>
        <v>28343.099999999995</v>
      </c>
      <c r="H20" s="169"/>
      <c r="I20" s="169"/>
      <c r="J20" s="169"/>
      <c r="K20" s="169"/>
      <c r="L20" s="169"/>
      <c r="M20" s="1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List</vt:lpstr>
      <vt:lpstr>Sheet1</vt:lpstr>
      <vt:lpstr>Cash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 Rout</dc:creator>
  <cp:lastModifiedBy>Pravin Rodrigues</cp:lastModifiedBy>
  <cp:lastPrinted>2026-03-04T09:25:08Z</cp:lastPrinted>
  <dcterms:created xsi:type="dcterms:W3CDTF">2017-05-22T08:15:32Z</dcterms:created>
  <dcterms:modified xsi:type="dcterms:W3CDTF">2026-03-11T18:18:00Z</dcterms:modified>
</cp:coreProperties>
</file>