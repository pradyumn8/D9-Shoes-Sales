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0DC12D2-E985-4BFC-9FA3-CBBF8EBB628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s" sheetId="1" r:id="rId1"/>
    <sheet name="Inventory" sheetId="2" r:id="rId2"/>
    <sheet name="ShoeTypes" sheetId="3" r:id="rId3"/>
    <sheet name="Models" sheetId="4" r:id="rId4"/>
    <sheet name="Audit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6" i="2" l="1"/>
  <c r="P116" i="2"/>
  <c r="K116" i="2"/>
  <c r="R77" i="2"/>
  <c r="P77" i="2"/>
  <c r="K77" i="2"/>
</calcChain>
</file>

<file path=xl/sharedStrings.xml><?xml version="1.0" encoding="utf-8"?>
<sst xmlns="http://schemas.openxmlformats.org/spreadsheetml/2006/main" count="5142" uniqueCount="797">
  <si>
    <t>UserID</t>
  </si>
  <si>
    <t>Username</t>
  </si>
  <si>
    <t>Password</t>
  </si>
  <si>
    <t>Role</t>
  </si>
  <si>
    <t>FullName</t>
  </si>
  <si>
    <t>CreatedAt</t>
  </si>
  <si>
    <t>7f7e5bbd-b0d4-4f8e-b897-89d32914e80f</t>
  </si>
  <si>
    <t>admin</t>
  </si>
  <si>
    <t>$2a$10$GEGc5GOTGKGlK7TExe7L0uNf.TGOGes6UuXI2So0BhSp9FMnbVNYu</t>
  </si>
  <si>
    <t>System Admin</t>
  </si>
  <si>
    <t>2026-03-28T06:51:26.719Z</t>
  </si>
  <si>
    <t>d8762780-cf72-4aa2-b255-c01024b9299d</t>
  </si>
  <si>
    <t>user</t>
  </si>
  <si>
    <t>Shop User</t>
  </si>
  <si>
    <t>2026-03-28T06:51:26.860Z</t>
  </si>
  <si>
    <t>Sr No</t>
  </si>
  <si>
    <t>Shoe Type</t>
  </si>
  <si>
    <t>D9 Model</t>
  </si>
  <si>
    <t>Size</t>
  </si>
  <si>
    <t>Lot</t>
  </si>
  <si>
    <t>Qty</t>
  </si>
  <si>
    <t>MRP [Including GST]</t>
  </si>
  <si>
    <t>Discount Received</t>
  </si>
  <si>
    <t>GST%</t>
  </si>
  <si>
    <t>Cost Price</t>
  </si>
  <si>
    <t>GST Amount</t>
  </si>
  <si>
    <t>Total Cost Price</t>
  </si>
  <si>
    <t>Amount</t>
  </si>
  <si>
    <t>Billing Amount</t>
  </si>
  <si>
    <t xml:space="preserve">GST% </t>
  </si>
  <si>
    <t>Sale Price</t>
  </si>
  <si>
    <t xml:space="preserve">GST Amount </t>
  </si>
  <si>
    <t>Total Billing Amount</t>
  </si>
  <si>
    <t>Sold To</t>
  </si>
  <si>
    <t>Paid</t>
  </si>
  <si>
    <t>Buyer Name</t>
  </si>
  <si>
    <t>Billing Name</t>
  </si>
  <si>
    <t>Invoicing Done</t>
  </si>
  <si>
    <t>Payment Status</t>
  </si>
  <si>
    <t>Remark</t>
  </si>
  <si>
    <t>EntryID</t>
  </si>
  <si>
    <t>EntryDate</t>
  </si>
  <si>
    <t>EnteredBy</t>
  </si>
  <si>
    <t>Status</t>
  </si>
  <si>
    <t>Rubber Studs Shoes</t>
  </si>
  <si>
    <t>Performer 2</t>
  </si>
  <si>
    <t>UK 4</t>
  </si>
  <si>
    <t>1st</t>
  </si>
  <si>
    <t/>
  </si>
  <si>
    <t>Pravin R</t>
  </si>
  <si>
    <t>No</t>
  </si>
  <si>
    <t>Riya Enterprises</t>
  </si>
  <si>
    <t>AMS/25-26/217 Dated 21/11/2025</t>
  </si>
  <si>
    <t>No Payment</t>
  </si>
  <si>
    <t>45ba71b7-4dc7-46f5-8f9f-9ee9bed5d260</t>
  </si>
  <si>
    <t>2026-03-28T09:15:10.091Z</t>
  </si>
  <si>
    <t>Sold</t>
  </si>
  <si>
    <t>Blaster 2</t>
  </si>
  <si>
    <t>3f56a9f7-74dd-443d-a87f-a576dfb37a8e</t>
  </si>
  <si>
    <t>UK 9</t>
  </si>
  <si>
    <t>Anuj D</t>
  </si>
  <si>
    <t>Sponsored</t>
  </si>
  <si>
    <t>48de2adb-61d2-4186-92f3-34d8c695fd88</t>
  </si>
  <si>
    <t>2026-03-28T09:15:10.093Z</t>
  </si>
  <si>
    <t>Commander 1</t>
  </si>
  <si>
    <t>UK 10</t>
  </si>
  <si>
    <t>Fahmaan</t>
  </si>
  <si>
    <t>0a10f38f-d760-4b3e-841d-3daae40bef55</t>
  </si>
  <si>
    <t>Bowling Spikes Shoes</t>
  </si>
  <si>
    <t>Warrior 2</t>
  </si>
  <si>
    <t>UK 12</t>
  </si>
  <si>
    <t>Yatish M</t>
  </si>
  <si>
    <t>ae416ab9-8fd1-441a-a79e-ff3c32604cb6</t>
  </si>
  <si>
    <t>Abhilash C</t>
  </si>
  <si>
    <t>4ffcfff4-0acc-4855-8acb-5bed94704eaf</t>
  </si>
  <si>
    <t>Blaster 1</t>
  </si>
  <si>
    <t>UK 8</t>
  </si>
  <si>
    <t>Devendra Naik</t>
  </si>
  <si>
    <t>69cbb3ba-733c-4271-8d72-b910390c6dcc</t>
  </si>
  <si>
    <t>2026-03-28T09:15:10.094Z</t>
  </si>
  <si>
    <t>Subodh</t>
  </si>
  <si>
    <t>2277c059-3818-4b61-b3be-f5a5d27b599e</t>
  </si>
  <si>
    <t>Performer 1</t>
  </si>
  <si>
    <t>2nd</t>
  </si>
  <si>
    <t>Sudhir Rout (personal use)</t>
  </si>
  <si>
    <t>fc4352e2-3add-435f-85b8-29e0746de5ed</t>
  </si>
  <si>
    <t>UK 6</t>
  </si>
  <si>
    <t>Bhupendra</t>
  </si>
  <si>
    <t>Yes</t>
  </si>
  <si>
    <t>Raj B</t>
  </si>
  <si>
    <t>Online 30/11/2025</t>
  </si>
  <si>
    <t>997733b8-c112-45f5-a3aa-245936d0cbaa</t>
  </si>
  <si>
    <t>2026-03-28T09:15:10.095Z</t>
  </si>
  <si>
    <t>3ee9ec17-47ec-4a9f-8b4d-aab557d44dbe</t>
  </si>
  <si>
    <t>Harshit</t>
  </si>
  <si>
    <t>79159f29-98e2-4a3b-afec-b64595501eda</t>
  </si>
  <si>
    <t>Pankaj</t>
  </si>
  <si>
    <t>50104d67-53e9-4359-b4d5-3f0495aabbac</t>
  </si>
  <si>
    <t>7530bbde-1d04-4e28-9007-9c4bc41fc069</t>
  </si>
  <si>
    <t>UK 11</t>
  </si>
  <si>
    <t>ef77db8f-8392-4e34-9abb-d9b71de99271</t>
  </si>
  <si>
    <t>Vikram Thorvi</t>
  </si>
  <si>
    <t>b0e14ac1-ce25-4d3a-be9a-daed4059ecc0</t>
  </si>
  <si>
    <t>Rahul D</t>
  </si>
  <si>
    <t>6d6687ad-efa4-45ef-a3ef-bed1c1aaadf7</t>
  </si>
  <si>
    <t>Amit S</t>
  </si>
  <si>
    <t>Pravin</t>
  </si>
  <si>
    <t>7d3fcc06-a665-43ea-ab41-cea93b6cd71b</t>
  </si>
  <si>
    <t>2026-03-28T09:15:10.096Z</t>
  </si>
  <si>
    <t>Harpreet Singh</t>
  </si>
  <si>
    <t>49615c4f-c967-4d5c-8c24-665449436382</t>
  </si>
  <si>
    <t>Force 2</t>
  </si>
  <si>
    <t>Nikhil Jain</t>
  </si>
  <si>
    <t>0d73ecd3-91b3-45da-8523-00dc6f0b93dc</t>
  </si>
  <si>
    <t>Bolt</t>
  </si>
  <si>
    <t>0d2a8e2a-6eb3-43ba-8bdf-50f013f1d1dc</t>
  </si>
  <si>
    <t>8f06a4cc-5ec1-4d4e-82fe-55e4ec2b9b76</t>
  </si>
  <si>
    <t>UK 7</t>
  </si>
  <si>
    <t>Nemish Mehta</t>
  </si>
  <si>
    <t>03f1ca20-0c2b-4472-8a1a-d0bc251c6312</t>
  </si>
  <si>
    <t>Dharmik</t>
  </si>
  <si>
    <t>01fc1dd3-97a1-4c4a-9d0e-e35e0940f26c</t>
  </si>
  <si>
    <t>2026-03-28T09:15:10.097Z</t>
  </si>
  <si>
    <t>UK 5</t>
  </si>
  <si>
    <t>Asif</t>
  </si>
  <si>
    <t>7ec92957-81ad-466c-93d6-7b31c6652d94</t>
  </si>
  <si>
    <t>bcd30252-68f3-4a24-a85a-52bdaa073ce1</t>
  </si>
  <si>
    <t>Sunil Nair</t>
  </si>
  <si>
    <t>36187936-fdcd-4fce-bff0-1f5da30f43f8</t>
  </si>
  <si>
    <t>Nemish Kamble</t>
  </si>
  <si>
    <t>To Be billed 1</t>
  </si>
  <si>
    <t>AMS/25-26/307 Dated 10/02/2026</t>
  </si>
  <si>
    <t>Paid By Yatish M</t>
  </si>
  <si>
    <t>cda2b416-f46b-40fc-b256-de8006488362</t>
  </si>
  <si>
    <t>b7dbb731-8d5e-44bd-9d80-00ed6dc05deb</t>
  </si>
  <si>
    <t>c00ab507-dbb4-42a9-af6e-a0e36b342016</t>
  </si>
  <si>
    <t>2026-03-28T09:15:10.098Z</t>
  </si>
  <si>
    <t>Rakesh M</t>
  </si>
  <si>
    <t>b44d3a2c-21f8-4fc6-bfc5-5157073fdba7</t>
  </si>
  <si>
    <t>Chirag Edwankar</t>
  </si>
  <si>
    <t>6daebed8-dfb8-4de6-9fc6-07bcffd1cf34</t>
  </si>
  <si>
    <t>Warrior 1</t>
  </si>
  <si>
    <t>9778cd18-952a-4ba7-a2b0-e68ef73b3f66</t>
  </si>
  <si>
    <t>Amit Rathod</t>
  </si>
  <si>
    <t>deecfd65-e639-4bc4-8bb0-99fa3c38ea22</t>
  </si>
  <si>
    <t>276d41f6-0b92-42c1-a36b-77c4102cd76a</t>
  </si>
  <si>
    <t>2026-03-28T09:15:10.099Z</t>
  </si>
  <si>
    <t>26d1c53c-85da-452d-af78-12831d1f8996</t>
  </si>
  <si>
    <t>Jigar Nagda</t>
  </si>
  <si>
    <t>6d8def3e-57a8-4c04-9502-fbddc98ba955</t>
  </si>
  <si>
    <t>6e54390f-0da3-4980-9097-82f61d7b805b</t>
  </si>
  <si>
    <t>Sagar Gavandi</t>
  </si>
  <si>
    <t>AMS/25-26/243 Dated 22/12/2025</t>
  </si>
  <si>
    <t>Online 30/12/2025</t>
  </si>
  <si>
    <t>78f239d6-d22b-45b5-925a-52bc19a3ea12</t>
  </si>
  <si>
    <t>Abhishek Patil</t>
  </si>
  <si>
    <t>9f660b81-2eaf-4b62-8a60-6b8d0e7867fb</t>
  </si>
  <si>
    <t>Sumit Poojary</t>
  </si>
  <si>
    <t>094b9ce9-4d50-4821-a141-32269246729b</t>
  </si>
  <si>
    <t>Amey Gaikwad</t>
  </si>
  <si>
    <t>65e0d39f-854c-450e-856d-2d3528b17d11</t>
  </si>
  <si>
    <t>2026-03-28T09:15:10.100Z</t>
  </si>
  <si>
    <t>Ved Betkar</t>
  </si>
  <si>
    <t>238ea161-7a4b-4dd6-8183-b9bfe1c65695</t>
  </si>
  <si>
    <t>Elisa D'Souza</t>
  </si>
  <si>
    <t>cd6f593d-321e-4136-8cc7-78420706d922</t>
  </si>
  <si>
    <t>Flavia Fernandes</t>
  </si>
  <si>
    <t>AMS/25-26/223 Dated 01/12/2025</t>
  </si>
  <si>
    <t>By Cash Deposit 27/11/2025</t>
  </si>
  <si>
    <t>be78e61a-977c-4c77-8589-2b360c2e4220</t>
  </si>
  <si>
    <t>2026-03-28T09:15:10.101Z</t>
  </si>
  <si>
    <t>Mathias Fernandes</t>
  </si>
  <si>
    <t>86a542d5-a149-4d84-84fe-caf34cb9b7a4</t>
  </si>
  <si>
    <t>Edwin Fernandes</t>
  </si>
  <si>
    <t>ef01cafd-7be8-48e6-a1d0-53340b1da3d6</t>
  </si>
  <si>
    <t>688259e0-e126-4baa-b060-0a148df0ceb1</t>
  </si>
  <si>
    <t>Adrian Fernandes</t>
  </si>
  <si>
    <t>a17d3e52-2091-4366-9ff6-7899edb578c9</t>
  </si>
  <si>
    <t>2026-03-28T09:15:10.102Z</t>
  </si>
  <si>
    <t>Harshit Mestry</t>
  </si>
  <si>
    <t>5e8f3afa-4645-4bb1-92ca-6d8f4edc9739</t>
  </si>
  <si>
    <t>18cea03a-9738-4b17-891c-cc5d1e947d79</t>
  </si>
  <si>
    <t>bfb2bf7b-a8df-44a8-9acc-6bdd4119e6f3</t>
  </si>
  <si>
    <t>Hsrish S Kothare</t>
  </si>
  <si>
    <t>76906914-57d0-4010-98fc-bd9d448c0166</t>
  </si>
  <si>
    <t>Badminton Shoes</t>
  </si>
  <si>
    <t>Cult</t>
  </si>
  <si>
    <t>Mohd Firoz</t>
  </si>
  <si>
    <t>11950ef2-44cb-4042-b714-7b70c30dd29f</t>
  </si>
  <si>
    <t>e8a0cd43-94f3-494b-8505-080090768f50</t>
  </si>
  <si>
    <t>5e3ff4a7-eb6a-4d51-b598-6eb5d1448712</t>
  </si>
  <si>
    <t>2026-03-28T09:15:10.103Z</t>
  </si>
  <si>
    <t>Sudhir Rout / Pankaj</t>
  </si>
  <si>
    <t>Sudhir K Rout</t>
  </si>
  <si>
    <t>9f30d061-6190-4b26-a5b1-66aac9febc97</t>
  </si>
  <si>
    <t>Sudhir Rout / Pavan</t>
  </si>
  <si>
    <t>defba4cf-0bca-4708-902a-e63beefe9eaa</t>
  </si>
  <si>
    <t>Classic 1</t>
  </si>
  <si>
    <t>Rohit Kharb</t>
  </si>
  <si>
    <t>AMS/25-26/244 Dated 22/12/2025</t>
  </si>
  <si>
    <t>Lumpsum Adv Received - 15,000 INR Dated 17/12/2025</t>
  </si>
  <si>
    <t>d2b62817-e320-48e1-ac90-7c352e74525a</t>
  </si>
  <si>
    <t>Classic 2</t>
  </si>
  <si>
    <t>f85fc4c3-89b5-470d-859b-3f894261e71a</t>
  </si>
  <si>
    <t>d4a5d549-fbf2-4a7c-84d0-d6b014ae18b7</t>
  </si>
  <si>
    <t>Kings 2</t>
  </si>
  <si>
    <t>5aa28223-834f-4e8f-af0e-86867214adb9</t>
  </si>
  <si>
    <t>b3bff07d-0a07-4935-8530-01bef88a30de</t>
  </si>
  <si>
    <t>Jimit Shukla</t>
  </si>
  <si>
    <t>dce934a5-8392-4af4-8d87-cc42e796b418</t>
  </si>
  <si>
    <t>2026-03-28T09:15:10.104Z</t>
  </si>
  <si>
    <t>Ajay Rajput</t>
  </si>
  <si>
    <t>09096834-5e0e-4719-b38d-f2dc9a05f03f</t>
  </si>
  <si>
    <t>6fdafa74-e3af-49c0-a19b-57c94c60d2ba</t>
  </si>
  <si>
    <t>Spider Sports</t>
  </si>
  <si>
    <t>ffed1362-dd12-435d-8636-e7bb9d8b1141</t>
  </si>
  <si>
    <t>dc047336-1291-4c72-a7f9-9a7480b51acf</t>
  </si>
  <si>
    <t>1b1ec45f-14ac-4350-9371-e6358b9a47dc</t>
  </si>
  <si>
    <t>Pravin Cash</t>
  </si>
  <si>
    <t>Sonal Mamlekar</t>
  </si>
  <si>
    <t>AMS/25-26/291 Dated 02/02/2026</t>
  </si>
  <si>
    <t>d55753a0-cd33-460a-99af-cdc1a5964de3</t>
  </si>
  <si>
    <t>Mahesh Kothare</t>
  </si>
  <si>
    <t>88e60f70-8ce9-4516-b731-7b33c4e987b4</t>
  </si>
  <si>
    <t>2caa56ed-fe20-4109-8d01-bbf60ee95bb6</t>
  </si>
  <si>
    <t>Vijay Shah</t>
  </si>
  <si>
    <t>124062aa-7f57-44dc-bb36-762ddce5f885</t>
  </si>
  <si>
    <t>fccd3565-6083-438b-b326-ac4bb1f00b3e</t>
  </si>
  <si>
    <t>Sankalp Pednekar</t>
  </si>
  <si>
    <t>AMS/25-26/285 Dated 29/01/2026</t>
  </si>
  <si>
    <t>1584823a-41f8-4ab0-a05d-a4b389011e5a</t>
  </si>
  <si>
    <t>2026-03-28T09:15:10.105Z</t>
  </si>
  <si>
    <t>Batting Spike Shoes</t>
  </si>
  <si>
    <t>Thunder 1</t>
  </si>
  <si>
    <t>Sponsor</t>
  </si>
  <si>
    <t>dbc55aac-3642-4ec2-9582-ce25a9a284cd</t>
  </si>
  <si>
    <t>269c06ba-9a5d-4fa8-a7bb-e8ecad09be74</t>
  </si>
  <si>
    <t>ce9fb494-ab38-44b5-a7e4-195e4a58243a</t>
  </si>
  <si>
    <t>Running Shoes</t>
  </si>
  <si>
    <t>Speed R04</t>
  </si>
  <si>
    <t>Sharad</t>
  </si>
  <si>
    <t>67d6b3b5-c680-4c7b-b7d5-ca3ab8026773</t>
  </si>
  <si>
    <t>Siddharth Sharma</t>
  </si>
  <si>
    <t>1427e779-6099-4ad7-a160-52b36d96ff69</t>
  </si>
  <si>
    <t>bc2f4e6d-c266-4bf7-b60e-d25d4b8586a6</t>
  </si>
  <si>
    <t>Sachin Mahadeshw</t>
  </si>
  <si>
    <t>To be Billed</t>
  </si>
  <si>
    <t>3e0451ed-4191-4a32-bd98-f9a57d6f1bba</t>
  </si>
  <si>
    <t>2026-03-28T09:15:10.106Z</t>
  </si>
  <si>
    <t>AMS/25-26/245 Dated 22/12/2025</t>
  </si>
  <si>
    <t>Online 20/12/2025</t>
  </si>
  <si>
    <t>e7cde25a-8868-4059-a79b-661ef0fe640e</t>
  </si>
  <si>
    <t>55fd6ba9-9711-4187-9e49-7def21c7d010</t>
  </si>
  <si>
    <t>8789a552-1320-44d5-bcaa-3a3ad511b0df</t>
  </si>
  <si>
    <t>Subodh Parab</t>
  </si>
  <si>
    <t>AMS/25-26/251 Dated 01/01/2026</t>
  </si>
  <si>
    <t>Online 24/12/2025</t>
  </si>
  <si>
    <t>1a4d3d50-ce3b-459b-b742-644d30f27184</t>
  </si>
  <si>
    <t>Deepak Singh</t>
  </si>
  <si>
    <t>Deepak Sports</t>
  </si>
  <si>
    <t>AMS/25-26/249 Dated 01/01/2026</t>
  </si>
  <si>
    <t>Online 22/12/2025</t>
  </si>
  <si>
    <t>fb6ce525-757a-4fb2-b522-f858be4329cd</t>
  </si>
  <si>
    <t>5be0e470-6501-46fd-9925-f2db5c9bbe83</t>
  </si>
  <si>
    <t>d1226b0b-f023-4c61-84d3-c938c229bee6</t>
  </si>
  <si>
    <t>d5b85fb2-7814-4425-b22b-3695c8df4b96</t>
  </si>
  <si>
    <t>2026-03-28T09:15:10.107Z</t>
  </si>
  <si>
    <t>2ddde795-7ea3-40e6-840d-c6d714aab7b8</t>
  </si>
  <si>
    <t>AMS/25-26/290 Dated 02/02/2026</t>
  </si>
  <si>
    <t>0000602344097086 &amp; 0000638926710338 On 23.01.2026 / Anuradhra Singh</t>
  </si>
  <si>
    <t>2c2f8bc0-87a8-4cf7-bdab-d2464e654db2</t>
  </si>
  <si>
    <t>acf1e10c-5d9e-4214-9000-21a7d61b8590</t>
  </si>
  <si>
    <t>Raj Bangera (Personal Use)</t>
  </si>
  <si>
    <t>434501e7-deee-442c-9f1a-bd427222ebd1</t>
  </si>
  <si>
    <t>Champion 1</t>
  </si>
  <si>
    <t>Pravin R (personal Use)</t>
  </si>
  <si>
    <t>a6083f57-39dc-4a97-9ab7-9cf700a6faef</t>
  </si>
  <si>
    <t>Vishal Patidar</t>
  </si>
  <si>
    <t>815745826877 On 29.01.2026</t>
  </si>
  <si>
    <t>694ae3c3-2495-406f-ab5a-9ae82da2a568</t>
  </si>
  <si>
    <t>Sudhir</t>
  </si>
  <si>
    <t>10e42c8d-905e-4fcb-820d-28db47501d0f</t>
  </si>
  <si>
    <t>0a7bb44d-30a2-4053-98c6-1dac24fa7715</t>
  </si>
  <si>
    <t>Sudhir (personal use)</t>
  </si>
  <si>
    <t>2233804e-e58a-418c-b303-aa1a4a1a362a</t>
  </si>
  <si>
    <t>8a46041e-0d69-47d2-b243-17315bf5ca31</t>
  </si>
  <si>
    <t>AMS/25-26/289 Dated 02/02/2026</t>
  </si>
  <si>
    <t>Txn ID 601538604864 On 15.01.2026</t>
  </si>
  <si>
    <t>d1ea7cdc-1825-4671-8703-9fa503aab8c4</t>
  </si>
  <si>
    <t>2026-03-28T09:15:10.108Z</t>
  </si>
  <si>
    <t>23e47dbe-8773-4a94-8d31-b0ef33020636</t>
  </si>
  <si>
    <t>Kalpesh Koli</t>
  </si>
  <si>
    <t>AMS/25-26/252 Dated 01/01/2026</t>
  </si>
  <si>
    <t>Online 07/01/2026</t>
  </si>
  <si>
    <t>ff0cb436-6ca1-4d73-bf0e-e8c7b4971a8f</t>
  </si>
  <si>
    <t>Aniket Shetye</t>
  </si>
  <si>
    <t>3f928a0f-9d91-41da-b405-e778da4f001f</t>
  </si>
  <si>
    <t>Hunter</t>
  </si>
  <si>
    <t>Tejas Kadakia</t>
  </si>
  <si>
    <t>61bddb10-b97f-48b4-88d9-334b8131fe32</t>
  </si>
  <si>
    <t>TPU Spikes 8 Pces Set</t>
  </si>
  <si>
    <t>Free Size</t>
  </si>
  <si>
    <t>5f78eee5-69f1-43a7-817d-c36f0d860fa2</t>
  </si>
  <si>
    <t>Special Key</t>
  </si>
  <si>
    <t>ff80ab37-cb11-4c6e-8070-c3cb04daf244</t>
  </si>
  <si>
    <t>Ankle Socks Orange</t>
  </si>
  <si>
    <t>211f409d-de4a-4573-a117-3181fa1a148f</t>
  </si>
  <si>
    <t>14b9eb0e-72e8-4755-96e8-efa399b417b8</t>
  </si>
  <si>
    <t>92911c99-d19a-406c-afc1-4b9a91b16413</t>
  </si>
  <si>
    <t>35754722-5fcd-497e-83df-5fdb2aa602d7</t>
  </si>
  <si>
    <t>Z-Bats Clinic</t>
  </si>
  <si>
    <t>Shah Sports Tech Pvt Ltd</t>
  </si>
  <si>
    <t>AMS/25-26/250 Dated 01/01/2026</t>
  </si>
  <si>
    <t>Online 08/01/2026</t>
  </si>
  <si>
    <t>c7cc2db4-bb34-4c62-ba37-c9c1127c428b</t>
  </si>
  <si>
    <t>9e2935a8-ac88-41b0-8c89-5c2843086b88</t>
  </si>
  <si>
    <t>Ankit Bawne</t>
  </si>
  <si>
    <t>AMS/25-26/294 Dated 03/02/2026</t>
  </si>
  <si>
    <t>637708742076 / 11.01.2026 / Sonal Mamlekar</t>
  </si>
  <si>
    <t>a1430202-405d-4839-a4ef-6cf8c5d59f46</t>
  </si>
  <si>
    <t>Ninad Kadam</t>
  </si>
  <si>
    <t>876f68a6-e77b-4e00-b8d5-869f8145e08d</t>
  </si>
  <si>
    <t>83b1e5cf-c9ff-43fd-ad2f-7fb47a7ec62a</t>
  </si>
  <si>
    <t>Edward</t>
  </si>
  <si>
    <t>Edward Philip</t>
  </si>
  <si>
    <t>AMS/25-26/306 Dated 10/02/2026</t>
  </si>
  <si>
    <t>697360921553 On 13.01 &amp; 395571958016 On 16.01,  0000697658632424 On 18.01</t>
  </si>
  <si>
    <t>4000 Received, pending 1206.51 INR</t>
  </si>
  <si>
    <t>5b6c5bf6-2283-4464-ac25-c132160bc126</t>
  </si>
  <si>
    <t>b3b283ae-1246-47fc-993d-110a1352ff6f</t>
  </si>
  <si>
    <t>2026-03-28T09:15:10.109Z</t>
  </si>
  <si>
    <t>AMS/25-26/282 Dated 29/01/2026</t>
  </si>
  <si>
    <t>Online 16/01/2026</t>
  </si>
  <si>
    <t>b948d983-a149-496d-8931-85e3d6c6eff5</t>
  </si>
  <si>
    <t>697073692561 &amp; 697073675208 / 09.01.2026 / Hemang Vyas</t>
  </si>
  <si>
    <t>75f1f648-0029-49f9-9a64-8b9ccc68a3c5</t>
  </si>
  <si>
    <t>Imran Haq</t>
  </si>
  <si>
    <t>AMS/25-26/308 Dated 10/02/2026</t>
  </si>
  <si>
    <t>Txn ID 601765023162 On 17.01.2026</t>
  </si>
  <si>
    <t>Without Shoe Bag &amp; Cap</t>
  </si>
  <si>
    <t>4f6401bb-931e-4035-ad4e-2219ab800e2a</t>
  </si>
  <si>
    <t>Hemang Vyas</t>
  </si>
  <si>
    <t>727c0210-9067-4295-ad9b-82184cb71a00</t>
  </si>
  <si>
    <t>Jaideep Jadhav</t>
  </si>
  <si>
    <t>AMS/25-26/309 Dated 10/02/2026</t>
  </si>
  <si>
    <t>Online 10/01/2026</t>
  </si>
  <si>
    <t>01c1fa43-4406-40a8-a404-d33ee4219348</t>
  </si>
  <si>
    <t>a5a04d4d-2ad1-4f11-af50-959c9924e165</t>
  </si>
  <si>
    <t>c3884086-d4c3-4275-ae53-d33d22fa664a</t>
  </si>
  <si>
    <t>2026-03-28T09:15:10.114Z</t>
  </si>
  <si>
    <t>ed9ebc2c-53c1-4383-bae0-e064332806f3</t>
  </si>
  <si>
    <t>Ranjan</t>
  </si>
  <si>
    <t>Online On 11.01.26  (2000 + 1150)</t>
  </si>
  <si>
    <t>7935ecb3-9dfb-4c24-ad0e-fdf4fc2e7fba</t>
  </si>
  <si>
    <t>2026-03-28T09:15:10.115Z</t>
  </si>
  <si>
    <t>Pandurang</t>
  </si>
  <si>
    <t>Txn ID 601712429091 On 17.01.2026</t>
  </si>
  <si>
    <t>1cc73daf-50a2-4b01-ac3a-094c4e92076c</t>
  </si>
  <si>
    <t>Txn ID '601742223269 On 17.01.2026</t>
  </si>
  <si>
    <t>36ab0ead-79a5-4899-99fb-6dd3702d9ec7</t>
  </si>
  <si>
    <t>2026-03-28T09:15:10.116Z</t>
  </si>
  <si>
    <t>Paid On 2nd Feb '26</t>
  </si>
  <si>
    <t>a2f960a2-817a-4642-900f-6aca6346a89f</t>
  </si>
  <si>
    <t>Sankalp</t>
  </si>
  <si>
    <t>54f97eb7-facb-4c7a-ada7-3ef98a623915</t>
  </si>
  <si>
    <t>869650283270,  301317480236,  187616699054 On 14.01.2026</t>
  </si>
  <si>
    <t>7308606b-e839-4e90-bbb3-465711106e44</t>
  </si>
  <si>
    <t>Smita Baria</t>
  </si>
  <si>
    <t>a62a7bf6-e17d-420b-870e-9069087551f9</t>
  </si>
  <si>
    <t>Atul Telang</t>
  </si>
  <si>
    <t>Abhishek Atul Telang</t>
  </si>
  <si>
    <t>0000832293001599 On 19.01.2026</t>
  </si>
  <si>
    <t>aafaed64-66c2-4323-ab51-5664d6422697</t>
  </si>
  <si>
    <t>Champion 2</t>
  </si>
  <si>
    <t>Kavita Lad</t>
  </si>
  <si>
    <t>AMS/25-26/284 Dated 29/01/2026</t>
  </si>
  <si>
    <t>0000638629005716 &amp; 0000602059293693 On 20.01.2026</t>
  </si>
  <si>
    <t>4e0597a0-f75b-4a0d-a68c-3d52e7b6b6ef</t>
  </si>
  <si>
    <t>967cedca-a3c9-4d93-bb92-f409019f2918</t>
  </si>
  <si>
    <t>2026-03-28T09:15:10.117Z</t>
  </si>
  <si>
    <t>100e6681-b54c-4b0f-a94e-ac0347bdb4a5</t>
  </si>
  <si>
    <t>cc544f1c-8a70-4ba5-b223-fcf8b8ab213f</t>
  </si>
  <si>
    <t>c4b673dc-45cb-40ff-afe2-f46e40269b10</t>
  </si>
  <si>
    <t>Speed R06</t>
  </si>
  <si>
    <t>5a6f2021-d35c-4c91-bb9a-a3f34e6b6b24</t>
  </si>
  <si>
    <t>Abhijeet</t>
  </si>
  <si>
    <t>Abhijeet Salgaonkar</t>
  </si>
  <si>
    <t>AMS/25-26/266 Dated 19/01/2026</t>
  </si>
  <si>
    <t>Online 19/01/2026</t>
  </si>
  <si>
    <t>d770ad6d-f800-4ca4-813c-ee41b615c3a6</t>
  </si>
  <si>
    <t>17316178-b3a3-4b5f-a38d-56e6ac3808c4</t>
  </si>
  <si>
    <t>f2b1cadd-e698-4116-9eac-77ec2edf7066</t>
  </si>
  <si>
    <t>da3ef3b9-61e9-4368-bba7-11dccb85e5c1</t>
  </si>
  <si>
    <t>2026-03-28T09:15:10.119Z</t>
  </si>
  <si>
    <t>bd8cf90e-5049-4fcb-a2e0-fe779f8771d8</t>
  </si>
  <si>
    <t>ed888217-b6f1-439e-bafc-22ae5abe2b0d</t>
  </si>
  <si>
    <t>9b90d2dd-a61d-489c-badd-dde679be09cc</t>
  </si>
  <si>
    <t>19c5efe9-6323-40f1-8b74-68fb1e65e4f2</t>
  </si>
  <si>
    <t>MCA Cric Kit Fair</t>
  </si>
  <si>
    <t>AMS/25-26/310 Dated 10/02/2026</t>
  </si>
  <si>
    <t>ba70ff61-dba4-4534-97e1-72cf990add74</t>
  </si>
  <si>
    <t>In Stock</t>
  </si>
  <si>
    <t>43853efc-9123-4415-8a71-e6ce93b86ea6</t>
  </si>
  <si>
    <t>15b121f3-1f00-4c70-9231-84317385d156</t>
  </si>
  <si>
    <t>786dc5ec-28c3-4823-99b3-3e1061bc6a71</t>
  </si>
  <si>
    <t>d5a6b3b5-b2b6-4ea0-b95e-b04089fd6fec</t>
  </si>
  <si>
    <t>a461e510-8bb1-466c-af96-7097244afcbe</t>
  </si>
  <si>
    <t>Cash</t>
  </si>
  <si>
    <t>59721854-a80f-4c70-b096-456e9ff1a379</t>
  </si>
  <si>
    <t>6d73c809-a83f-4aad-b0c7-34ecefae7e6c</t>
  </si>
  <si>
    <t>0e9d534e-431d-4307-831a-89e1d56a1608</t>
  </si>
  <si>
    <t>OMKAR SOMESHWAR KOKANE</t>
  </si>
  <si>
    <t>UPI @ MCA CRIC KIT FAIR</t>
  </si>
  <si>
    <t>AMS/25-26/305 Dated 10/02/2026</t>
  </si>
  <si>
    <t>Txn ID: 109009891966 On 18.01.26</t>
  </si>
  <si>
    <t>a0bfe16e-0919-46db-96e2-bed865208a36</t>
  </si>
  <si>
    <t>1d7091b6-15e0-4bfa-afce-a217b5f9ea3d</t>
  </si>
  <si>
    <t>Ashish Thirathnath</t>
  </si>
  <si>
    <t>Txn ID: 939835187775 On 18.01.26 ( 1 Pair Of Socks Extra Included)</t>
  </si>
  <si>
    <t>d5c8d1e6-8c45-4d32-aea8-38afe4fda4e3</t>
  </si>
  <si>
    <t>Mandar Madhukar</t>
  </si>
  <si>
    <t>Txn ID: 135605169167 On 18.01.26</t>
  </si>
  <si>
    <t>1caefd06-feae-4d23-8b8f-c5a3d6cb0857</t>
  </si>
  <si>
    <t>2026-03-28T09:15:10.120Z</t>
  </si>
  <si>
    <t>Jyoti Pandurang Jadhav</t>
  </si>
  <si>
    <t>Txn ID: 045851839285 On 18.01.26</t>
  </si>
  <si>
    <t>b473ae7d-04e0-49dd-b767-28e9974eedeb</t>
  </si>
  <si>
    <t>Salil Dilip</t>
  </si>
  <si>
    <t>Txn ID: 638415871778 On 18.01.26</t>
  </si>
  <si>
    <t>1957c695-6a07-4170-800a-4cec87e40403</t>
  </si>
  <si>
    <t>Expected Cash</t>
  </si>
  <si>
    <t>Online On 18.01.26</t>
  </si>
  <si>
    <t>72c8a134-e5ee-48e1-9567-de281444d900</t>
  </si>
  <si>
    <t>Prathamesh Hegde</t>
  </si>
  <si>
    <t>Txn ID: 638445267478 On 18.01.26</t>
  </si>
  <si>
    <t>776ef05b-0f47-47e1-b6a7-637b1beda5c1</t>
  </si>
  <si>
    <t>2 Socks Free Given</t>
  </si>
  <si>
    <t>e67ffaed-0147-42f5-af94-186537280b18</t>
  </si>
  <si>
    <t>21f03c37-cda7-4960-801d-ddec7c8f8fa1</t>
  </si>
  <si>
    <t>Sikandar Prajapati</t>
  </si>
  <si>
    <t>Txn ID: 117369222752 On 18.01.26</t>
  </si>
  <si>
    <t>c0867688-eae6-48c1-bb40-199a5ea80b6c</t>
  </si>
  <si>
    <t>Prem Pradip Mehta</t>
  </si>
  <si>
    <t>Txn ID: 638439753295 On 18.01.26</t>
  </si>
  <si>
    <t>5fa4ddd4-cc71-4e4b-94af-70d6d08764d2</t>
  </si>
  <si>
    <t>Reena S Thakur</t>
  </si>
  <si>
    <t>7099c142-775a-4e11-beca-ac035354686f</t>
  </si>
  <si>
    <t>e528c61b-2209-477c-ad59-408d4c3d77e1</t>
  </si>
  <si>
    <t>Manish Patel</t>
  </si>
  <si>
    <t>Txn ID: 395708991007 On 18.01.26</t>
  </si>
  <si>
    <t>Without Cap &amp; Shoe Bag</t>
  </si>
  <si>
    <t>9e8a6755-fd39-4c4c-9533-3c72e6032119</t>
  </si>
  <si>
    <t>c84d992f-be41-49e6-9162-0e7c539a0754</t>
  </si>
  <si>
    <t>3rd</t>
  </si>
  <si>
    <t>Tanvi Naresh Gaikwad</t>
  </si>
  <si>
    <t>Txn ID: 117370634547 On 18.01.26</t>
  </si>
  <si>
    <t>837f5ea5-5bea-42f1-aec6-f64075a22fde</t>
  </si>
  <si>
    <t>Atharv S Sonavale</t>
  </si>
  <si>
    <t>Txn ID: 638470927281 On 18.01.26</t>
  </si>
  <si>
    <t>55b2b1bc-fbab-40d1-b9a8-0c22606618e7</t>
  </si>
  <si>
    <t>542810de-2a57-47eb-91a0-f72c8ed0f32c</t>
  </si>
  <si>
    <t>Arif Naseer Shaikh</t>
  </si>
  <si>
    <t>Txn ID: 601867651298 On 18.01.26</t>
  </si>
  <si>
    <t>955e9841-ce49-442e-97b5-8deb31781e97</t>
  </si>
  <si>
    <t>Hiren Nirmal</t>
  </si>
  <si>
    <t>Txn ID: 638417576626 On 18.01.26</t>
  </si>
  <si>
    <t>3525c71c-1332-4b4e-bd8c-6b75f8664023</t>
  </si>
  <si>
    <t>e01f09c9-e2d5-4e32-85ae-2fe3226bdbb5</t>
  </si>
  <si>
    <t>2026-03-28T09:15:10.121Z</t>
  </si>
  <si>
    <t>Aarav Roy</t>
  </si>
  <si>
    <t>0000639074720280 On 24.01.2026</t>
  </si>
  <si>
    <t>fe6f5887-4a09-4912-a92d-8cc6248df8c6</t>
  </si>
  <si>
    <t>0000602346584734 On 24.01.2026</t>
  </si>
  <si>
    <t>7938e3c7-206b-4a6a-ad2d-d22e1ca1e5b4</t>
  </si>
  <si>
    <t>Jackson</t>
  </si>
  <si>
    <t>AMS/25-26/323 Dated 23/02/2026</t>
  </si>
  <si>
    <t>Online 24/02/2026</t>
  </si>
  <si>
    <t>aa349ba2-f6d6-41e9-8324-8a34831629fb</t>
  </si>
  <si>
    <t>101129e1-788a-4dbd-9d7d-af0717b04219</t>
  </si>
  <si>
    <t>Michael Norohna</t>
  </si>
  <si>
    <t>0000602472977251 On 24.02.2026</t>
  </si>
  <si>
    <t>09a829a9-2c3b-4489-a446-2340b4140974</t>
  </si>
  <si>
    <t>2026-03-28T09:15:10.122Z</t>
  </si>
  <si>
    <t>3ca2ba18-efd7-4528-9919-75e02719841e</t>
  </si>
  <si>
    <t>Rupesh Jadhav</t>
  </si>
  <si>
    <t>0000602246590000 On 22.01.2026</t>
  </si>
  <si>
    <t>16ed1fc7-764e-4a17-a03a-e55517194120</t>
  </si>
  <si>
    <t>AMS/25-26/339 Dated 05/03/2026</t>
  </si>
  <si>
    <t>cb24f4ac-c77e-49ca-9d44-49505cd929c1</t>
  </si>
  <si>
    <t>84918692-e862-436a-9a71-e48c204dddd5</t>
  </si>
  <si>
    <t>cd5fb2f0-ce17-4192-a165-4c4bcd7de3a8</t>
  </si>
  <si>
    <t>Online on 02/02/2026</t>
  </si>
  <si>
    <t>503f4b3c-29d3-49dd-b44a-b3179ce85cf6</t>
  </si>
  <si>
    <t>2026-03-28T09:15:10.123Z</t>
  </si>
  <si>
    <t>Arya</t>
  </si>
  <si>
    <t>Vishal Patil</t>
  </si>
  <si>
    <t>Txn ID 602780415476 On 27.01.2026</t>
  </si>
  <si>
    <t>9eb64cba-10bc-4f57-8df8-08d128a64e5b</t>
  </si>
  <si>
    <t>Jiyansh Gandhi</t>
  </si>
  <si>
    <t>Pearl Rodrigues</t>
  </si>
  <si>
    <t>Pearil Rodrigues</t>
  </si>
  <si>
    <t>Cash Received</t>
  </si>
  <si>
    <t>c469133d-4442-4d67-8752-b2bc123f423e</t>
  </si>
  <si>
    <t>52147698-8941-491c-8c26-60025366c8f0</t>
  </si>
  <si>
    <t>Kushi Karmokar</t>
  </si>
  <si>
    <t>cf8672b9-ebb1-454d-aeca-54250d2fef8f</t>
  </si>
  <si>
    <t>Amit Jha</t>
  </si>
  <si>
    <t>AMS/25-26/283 Dated 29/01/2026</t>
  </si>
  <si>
    <t>Txn ID: 639310478300  On 27.01.2026</t>
  </si>
  <si>
    <t>903e9f44-fd0e-40a2-9749-801516c34c25</t>
  </si>
  <si>
    <t>Badal Shiekh</t>
  </si>
  <si>
    <t>Santosh Pal</t>
  </si>
  <si>
    <t>Txn ID: 639557026084  On 29.01.2026</t>
  </si>
  <si>
    <t>7daed967-b866-4f86-9e3e-7835d7a976fa</t>
  </si>
  <si>
    <t>Karan</t>
  </si>
  <si>
    <t>Cash Purchase</t>
  </si>
  <si>
    <t>9e6b354e-dd48-417a-881a-ffee988bdd99</t>
  </si>
  <si>
    <t>Wagh</t>
  </si>
  <si>
    <t>Rakesh J Suvarna</t>
  </si>
  <si>
    <t>639893678580 On 01.02.2026</t>
  </si>
  <si>
    <t>153238e7-50b3-4cf4-bb4e-f5b91a54ec7b</t>
  </si>
  <si>
    <t>Speed R03</t>
  </si>
  <si>
    <t>Raj Bangera</t>
  </si>
  <si>
    <t>b6b0f5be-aa57-47a6-9d9b-a27988ffa71a</t>
  </si>
  <si>
    <t>b8e1c7ce-4909-4e76-b09f-e5004b62317e</t>
  </si>
  <si>
    <t>Akshay Saini</t>
  </si>
  <si>
    <t>a8fb410f-ecb7-490e-9ebc-e6f807627d8b</t>
  </si>
  <si>
    <t>2026-03-28T09:15:10.124Z</t>
  </si>
  <si>
    <t>8ca6dd52-0dca-4ad8-acbc-99762a1e254e</t>
  </si>
  <si>
    <t>AMS/25-26/314 Dated 14/02/2026</t>
  </si>
  <si>
    <t>Paid on 12/02/2026</t>
  </si>
  <si>
    <t>22b170f4-44c6-45e9-8282-960a8e7438d7</t>
  </si>
  <si>
    <t>e420303e-eabc-4069-9385-151ececbcbc4</t>
  </si>
  <si>
    <t>Sheetal Mamlekar</t>
  </si>
  <si>
    <t>19c4c040-df71-4c15-8bf1-b658ba6f0ec7</t>
  </si>
  <si>
    <t>d882566d-2aac-4fb2-9022-8e123489a093</t>
  </si>
  <si>
    <t>Damayanti Mamlekar</t>
  </si>
  <si>
    <t>37ba2fdf-6698-41ea-84c7-cb91f328b7b1</t>
  </si>
  <si>
    <t>Casual Shoes</t>
  </si>
  <si>
    <t>D9 Fashion R01</t>
  </si>
  <si>
    <t>a0d3179a-cff6-4e04-a7c1-187e9c69fc83</t>
  </si>
  <si>
    <t>Appa Patil</t>
  </si>
  <si>
    <t>Online On 11.02.26</t>
  </si>
  <si>
    <t>3224561a-c0cc-4b7d-95aa-6b25a7d2aea7</t>
  </si>
  <si>
    <t>Batting Spikes Shoes</t>
  </si>
  <si>
    <t>Online On 10.02.26</t>
  </si>
  <si>
    <t>ee19e70d-7730-4027-8337-15bc30b3470a</t>
  </si>
  <si>
    <t>Aman Asuri</t>
  </si>
  <si>
    <t>f1736e70-f45a-422e-83fb-f28f20fb974e</t>
  </si>
  <si>
    <t>add8e7dc-2d20-44ba-808b-c3437de301b0</t>
  </si>
  <si>
    <t>2026-03-28T09:15:10.125Z</t>
  </si>
  <si>
    <t>b100038a-88f3-4682-b480-7933de6933a9</t>
  </si>
  <si>
    <t>c0b17273-7c92-442a-95cc-ef82da693af0</t>
  </si>
  <si>
    <t>Online 25/02/2025</t>
  </si>
  <si>
    <t>f1e792f4-9e82-4dcc-a769-00d5ece48f23</t>
  </si>
  <si>
    <t>Ambitious Bridge Consul</t>
  </si>
  <si>
    <t>Online On 06.02.26</t>
  </si>
  <si>
    <t>4ad31bfe-6bf5-4d08-adbf-d5e5295a3c0a</t>
  </si>
  <si>
    <t>Paid on 08/02/2026</t>
  </si>
  <si>
    <t>c27452f8-9517-4cc9-bfba-17df03254aeb</t>
  </si>
  <si>
    <t>Hunter 1</t>
  </si>
  <si>
    <t>Paid on 09/02/2026</t>
  </si>
  <si>
    <t>9cb84828-33af-4c06-9eb9-5dc7b289f31a</t>
  </si>
  <si>
    <t>7bbcbe73-ceb8-4beb-b5db-142b8be66048</t>
  </si>
  <si>
    <t>a778c95c-ac50-4807-94b5-194143bc6ad9</t>
  </si>
  <si>
    <t>fc371c8a-4763-4db5-9ae8-e8f2504c334b</t>
  </si>
  <si>
    <t>2026-03-28T09:15:10.126Z</t>
  </si>
  <si>
    <t>8497ffe5-627a-42cd-9145-4d6b29b62369</t>
  </si>
  <si>
    <t>Satish Bankhele</t>
  </si>
  <si>
    <t>1c0df5b3-e7c7-47ce-a644-169c5ccc3c05</t>
  </si>
  <si>
    <t>4th</t>
  </si>
  <si>
    <t>Nilesh Kadam</t>
  </si>
  <si>
    <t>AMS/25-26/337 Dated 05/03/2026</t>
  </si>
  <si>
    <t>Online on 25/02/2025</t>
  </si>
  <si>
    <t>3f2fc728-e5d0-42c5-baed-e289a5445612</t>
  </si>
  <si>
    <t>Online 25/02/2026.</t>
  </si>
  <si>
    <t>337c0c6a-827a-4352-8c96-4a2218a6672a</t>
  </si>
  <si>
    <t>Txn ID 760317210807 On 27.02.2026</t>
  </si>
  <si>
    <t>8252bf5e-4e15-4eb2-a225-c41aa2e39bdd</t>
  </si>
  <si>
    <t>b03732f9-8af6-497e-9247-d1d2f6844ead</t>
  </si>
  <si>
    <t>Shivam</t>
  </si>
  <si>
    <t>Txn ID 605817599442 On 27.02.2026</t>
  </si>
  <si>
    <t>42b77d9e-9f94-43b7-b398-2e017e3e015b</t>
  </si>
  <si>
    <t>Txn ID 605814753441 On 27.02.2026</t>
  </si>
  <si>
    <t>60512619-6878-4b3d-86bd-e4ae27fb7d71</t>
  </si>
  <si>
    <t>Harsh Asar</t>
  </si>
  <si>
    <t>AMS/25-26/338 Dated 05/03/2026</t>
  </si>
  <si>
    <t>fcfdf95c-7e74-4a72-b471-9228fe5a4083</t>
  </si>
  <si>
    <t>2026-03-28T09:15:10.127Z</t>
  </si>
  <si>
    <t>Harshal</t>
  </si>
  <si>
    <t>31d1c77c-ea11-4dbd-90a3-01c0478a16b7</t>
  </si>
  <si>
    <t>Running Shoes - Womens</t>
  </si>
  <si>
    <t>Agility R02</t>
  </si>
  <si>
    <t>4b3c85e2-5d31-4eab-b14f-c6d182c9a460</t>
  </si>
  <si>
    <t>Aveline Rodrigues</t>
  </si>
  <si>
    <t>aa548ad6-817a-440d-bd4f-688a332b26ab</t>
  </si>
  <si>
    <t>Deepak Chahr</t>
  </si>
  <si>
    <t>6c1766c8-f6f1-4ba0-8ef6-74e5a1ac5ca4</t>
  </si>
  <si>
    <t>ada2d18e-631f-455d-bd4d-3314d1744ed4</t>
  </si>
  <si>
    <t>Northstar Events</t>
  </si>
  <si>
    <t>RD's Blasters</t>
  </si>
  <si>
    <t>To be Invoiced 1</t>
  </si>
  <si>
    <t>025d87f9-e4a6-43ca-8910-4648659b340e</t>
  </si>
  <si>
    <t>2026-03-28T09:15:10.128Z</t>
  </si>
  <si>
    <t>e4ba8fc2-56a6-4aa7-979e-a8c460e053bc</t>
  </si>
  <si>
    <t>5f4c0900-8181-4d0c-a98b-ed04d1cc9d13</t>
  </si>
  <si>
    <t>37939c24-4ecf-477d-b2b5-9fad755031cb</t>
  </si>
  <si>
    <t>21263454-26d2-4fa1-a298-3ec305b09970</t>
  </si>
  <si>
    <t>a5047602-b5b2-407b-992f-068c7d3385ce</t>
  </si>
  <si>
    <t>Lucrum Bulls</t>
  </si>
  <si>
    <t>fc21436e-39eb-4dff-bdc7-e659a9ff8858</t>
  </si>
  <si>
    <t>d63b0380-61a9-43b8-aa40-8158c899378a</t>
  </si>
  <si>
    <t>46323ae8-0139-4d55-bdc2-a8ae3fbc8ea9</t>
  </si>
  <si>
    <t>2aa2dc81-684b-4cb2-9cd7-6c175fe36d15</t>
  </si>
  <si>
    <t>5th</t>
  </si>
  <si>
    <t>6e8e808f-e09f-4cfd-8369-cf162548c894</t>
  </si>
  <si>
    <t>26317eda-344e-486a-a36c-8a2d8beb89f9</t>
  </si>
  <si>
    <t>116c814f-1b2c-4e8f-bfc0-de8e2994491e</t>
  </si>
  <si>
    <t>00957283-48e1-4408-87ba-d2ca4314e4d1</t>
  </si>
  <si>
    <t>D9 Comfort R02</t>
  </si>
  <si>
    <t>c6bd4e72-dfc2-4123-a68c-4f1c962cb05a</t>
  </si>
  <si>
    <t>2026-03-28T09:15:10.129Z</t>
  </si>
  <si>
    <t>Srishti Lions</t>
  </si>
  <si>
    <t>349d12f3-dde0-444f-816f-b2d272919bde</t>
  </si>
  <si>
    <t>aa8fd055-090a-4bb5-93a6-ad4648de16d7</t>
  </si>
  <si>
    <t>2db8b276-cd40-4fac-9d73-1c416ae74071</t>
  </si>
  <si>
    <t>018590a9-4d9c-4722-9547-9f0d3032bf3e</t>
  </si>
  <si>
    <t>90fe47d3-37d7-49ae-bb42-d51f8d265a11</t>
  </si>
  <si>
    <t>Dhananjay</t>
  </si>
  <si>
    <t>ce0f7a29-3db4-460b-97ee-f1c0cb95470e</t>
  </si>
  <si>
    <t>4df172a0-4aa2-4128-a58a-12b016073833</t>
  </si>
  <si>
    <t>22653154-b241-45eb-bdd3-2bed2a2efc6b</t>
  </si>
  <si>
    <t>Mohd Sahil</t>
  </si>
  <si>
    <t>Sudhir Rout</t>
  </si>
  <si>
    <t>Online 10/03/2026</t>
  </si>
  <si>
    <t>1a6dcc07-aa04-4e29-9230-1485a2caff68</t>
  </si>
  <si>
    <t>2f8ef177-de27-47ce-ac1d-917b5b3b23e0</t>
  </si>
  <si>
    <t>Tejas Salian</t>
  </si>
  <si>
    <t>d9a13c83-592b-4f19-bee2-073b555a2f56</t>
  </si>
  <si>
    <t>079a1944-8eda-4e68-a90f-b8c5addd093f</t>
  </si>
  <si>
    <t>2026-03-28T09:15:10.130Z</t>
  </si>
  <si>
    <t>Hunter 2</t>
  </si>
  <si>
    <t>6th</t>
  </si>
  <si>
    <t>2c22bb85-ecdf-43f9-a8f6-2fb6b8b0b1e3</t>
  </si>
  <si>
    <t>Online 09/03/2026</t>
  </si>
  <si>
    <t>9093d470-5f52-40a8-99a6-32ec6c548970</t>
  </si>
  <si>
    <t>aaee5c1f-d29d-46ad-b878-17eb6df4b3ee</t>
  </si>
  <si>
    <t>99f6bbc5-1e8e-4c0f-8e3d-285c9a1eefc4</t>
  </si>
  <si>
    <t>981bc1be-93d2-4784-a3a8-c7b957aaf613</t>
  </si>
  <si>
    <t>Poojan Shah</t>
  </si>
  <si>
    <t>62c152ba-a220-4856-853c-e450a771dd0b</t>
  </si>
  <si>
    <t>Hiren</t>
  </si>
  <si>
    <t>PPL 1</t>
  </si>
  <si>
    <t>24a7baf3-4235-43c1-bece-bf6ca931d6a0</t>
  </si>
  <si>
    <t>Shriraj Warekar</t>
  </si>
  <si>
    <t>f45a67f3-30a0-4dc6-a01c-25c78611850f</t>
  </si>
  <si>
    <t>Avinash M</t>
  </si>
  <si>
    <t>fc4686eb-173b-4d9f-bcb2-7b6946939c82</t>
  </si>
  <si>
    <t>Rushil Dedhia</t>
  </si>
  <si>
    <t>4d147413-6156-406d-83cc-b7617bd5db43</t>
  </si>
  <si>
    <t>22fb1cd2-8834-472f-bcf6-bbad27a9cdae</t>
  </si>
  <si>
    <t>20fad117-fb96-4436-aaf9-ad985287b85c</t>
  </si>
  <si>
    <t>6dd292e3-c643-4dc2-8047-121efe597de4</t>
  </si>
  <si>
    <t>Online 09/03/2026.</t>
  </si>
  <si>
    <t>3f992b81-ea5d-49e5-892e-1e5c11a6652b</t>
  </si>
  <si>
    <t>2026-03-28T09:15:10.131Z</t>
  </si>
  <si>
    <t>94ae52f7-92ba-4418-b169-4fccde03c758</t>
  </si>
  <si>
    <t>Karan Seth</t>
  </si>
  <si>
    <t>Online 11/03/2026.</t>
  </si>
  <si>
    <t>8ea55e62-622c-4094-8351-edbad987a1d2</t>
  </si>
  <si>
    <t>Vihaang Thakur</t>
  </si>
  <si>
    <t>4275d302-9fb4-431b-8f22-3da0386cde60</t>
  </si>
  <si>
    <t>Ravi Rokhade</t>
  </si>
  <si>
    <t>2220f381-6fb7-4c85-b890-3d6a5707bfe1</t>
  </si>
  <si>
    <t>Shreyash</t>
  </si>
  <si>
    <t>d62dfe90-6224-4eec-8a2a-6c5bf1720875</t>
  </si>
  <si>
    <t>0d538080-64d4-4d87-a9a9-327f15751c1e</t>
  </si>
  <si>
    <t>182bec9c-517b-41e1-aea9-b3c5e1c885c3</t>
  </si>
  <si>
    <t>bbc3d4b6-059a-4040-b94d-01f96b8da2e1</t>
  </si>
  <si>
    <t>Bhushan</t>
  </si>
  <si>
    <t>65a46038-3a9c-48ee-a7d8-29601c67bac7</t>
  </si>
  <si>
    <t>TypeID</t>
  </si>
  <si>
    <t>TypeName</t>
  </si>
  <si>
    <t>Description</t>
  </si>
  <si>
    <t>77811162-1ec0-4f88-94c1-a82ac5ce15d4</t>
  </si>
  <si>
    <t>Rubber stud cricket shoes</t>
  </si>
  <si>
    <t>2026-03-28T06:51:26.880Z</t>
  </si>
  <si>
    <t>aa486a34-aebb-4892-b755-25f5046cbffb</t>
  </si>
  <si>
    <t>Bowling spike cricket shoes</t>
  </si>
  <si>
    <t>0974c2d2-322d-48c3-8f83-32d79d0e1edb</t>
  </si>
  <si>
    <t>Auto-created from upload</t>
  </si>
  <si>
    <t>2026-03-28T08:05:59.504Z</t>
  </si>
  <si>
    <t>265949ae-09fc-4613-b0d5-e00e2d5fc197</t>
  </si>
  <si>
    <t>2026-03-28T08:05:59.730Z</t>
  </si>
  <si>
    <t>e2f31444-4491-4228-b97b-cbcd9081aa88</t>
  </si>
  <si>
    <t>2026-03-28T08:05:59.880Z</t>
  </si>
  <si>
    <t>d5c09865-5b16-4260-8cf0-0e9d08a6133a</t>
  </si>
  <si>
    <t>2026-03-28T08:06:00.024Z</t>
  </si>
  <si>
    <t>2b4e4827-1560-4f12-8c59-5214a1712617</t>
  </si>
  <si>
    <t>2026-03-28T08:06:00.161Z</t>
  </si>
  <si>
    <t>f42e2614-fa96-439e-b4db-d127f92a4df7</t>
  </si>
  <si>
    <t>2026-03-28T08:06:00.250Z</t>
  </si>
  <si>
    <t>7e26ac65-0d2b-4e7d-9198-3a79c41f41ec</t>
  </si>
  <si>
    <t>2026-03-28T08:06:00.347Z</t>
  </si>
  <si>
    <t>504dd710-e3c3-4ddf-8710-25625dd44649</t>
  </si>
  <si>
    <t>2026-03-28T08:06:00.447Z</t>
  </si>
  <si>
    <t>17385fdc-fb8f-4463-b7f3-328ee666ea72</t>
  </si>
  <si>
    <t>2026-03-28T08:06:00.546Z</t>
  </si>
  <si>
    <t>ModelID</t>
  </si>
  <si>
    <t>ModelName</t>
  </si>
  <si>
    <t>ShoeType</t>
  </si>
  <si>
    <t>3e5bada8-f4f2-4ba6-956a-14ab28bfa9ef</t>
  </si>
  <si>
    <t>2026-03-28T06:51:26.921Z</t>
  </si>
  <si>
    <t>304af260-c8cc-4b79-82d6-67d1020ad0e3</t>
  </si>
  <si>
    <t>161e532f-7c0c-446c-94c4-2163579a4d38</t>
  </si>
  <si>
    <t>63bcc5cd-fd78-4c57-aaea-11aadf1b4a4c</t>
  </si>
  <si>
    <t>1dd21b1a-e4cd-4e48-97b8-5bdcbb894043</t>
  </si>
  <si>
    <t>36324413-7400-4320-b833-fe05ac06b133</t>
  </si>
  <si>
    <t>a0576416-a35b-4d29-a4f7-6904697bae08</t>
  </si>
  <si>
    <t>2026-03-28T08:06:00.680Z</t>
  </si>
  <si>
    <t>e11f9bc7-b43f-44a6-9ccc-d23f56a5a574</t>
  </si>
  <si>
    <t>2026-03-28T08:06:00.905Z</t>
  </si>
  <si>
    <t>b1c378c2-ec6c-4fbf-8590-1d4c320344bb</t>
  </si>
  <si>
    <t>2026-03-28T08:06:01.007Z</t>
  </si>
  <si>
    <t>7278767d-c2da-4540-9ff8-65127d608dfb</t>
  </si>
  <si>
    <t>2026-03-28T08:06:01.116Z</t>
  </si>
  <si>
    <t>dcbbaafe-592c-4329-b962-85c9d9e0ba0c</t>
  </si>
  <si>
    <t>2026-03-28T08:06:01.229Z</t>
  </si>
  <si>
    <t>7bc037d4-106d-4b22-97d8-a79062bdbf54</t>
  </si>
  <si>
    <t>2026-03-28T08:06:01.337Z</t>
  </si>
  <si>
    <t>3f912639-7a27-44a6-9604-1d46862aad63</t>
  </si>
  <si>
    <t>2026-03-28T08:06:01.431Z</t>
  </si>
  <si>
    <t>191ddae3-9293-41bf-8839-bc4edb41f5c2</t>
  </si>
  <si>
    <t>2026-03-28T08:06:01.544Z</t>
  </si>
  <si>
    <t>3c02f292-57fa-40fa-a72c-23f4eb3299cd</t>
  </si>
  <si>
    <t>2026-03-28T08:06:01.636Z</t>
  </si>
  <si>
    <t>3108b84b-a50b-4ce5-8492-30986735b09b</t>
  </si>
  <si>
    <t>2026-03-28T08:06:01.710Z</t>
  </si>
  <si>
    <t>a9db3a65-77c1-49e2-9cf2-f89d917c4d94</t>
  </si>
  <si>
    <t>2026-03-28T08:06:01.792Z</t>
  </si>
  <si>
    <t>0113ed88-8edf-43d9-a02d-96327267f431</t>
  </si>
  <si>
    <t>2026-03-28T08:06:01.902Z</t>
  </si>
  <si>
    <t>396b10ba-7f54-4831-a80a-58c906dd19a4</t>
  </si>
  <si>
    <t>2026-03-28T08:06:02.036Z</t>
  </si>
  <si>
    <t>07fa979f-f1b5-4108-bedf-d532d95dd4e2</t>
  </si>
  <si>
    <t>2026-03-28T08:06:02.168Z</t>
  </si>
  <si>
    <t>333321e7-06de-4dba-a667-35a791a907c2</t>
  </si>
  <si>
    <t>2026-03-28T08:06:02.264Z</t>
  </si>
  <si>
    <t>a05a0ee7-6ede-4ff5-9e5c-5aa0c82eb6fd</t>
  </si>
  <si>
    <t>2026-03-28T08:06:02.361Z</t>
  </si>
  <si>
    <t>fc1c4355-3ecf-4ed8-808d-52eff67e456b</t>
  </si>
  <si>
    <t>2026-03-28T08:06:02.485Z</t>
  </si>
  <si>
    <t>0fc2c590-024f-45bc-b044-d11ad31408a5</t>
  </si>
  <si>
    <t>2026-03-28T08:06:02.588Z</t>
  </si>
  <si>
    <t>b5c90145-4302-4b7c-9e25-c62fd1ba8d20</t>
  </si>
  <si>
    <t>2026-03-28T08:06:02.703Z</t>
  </si>
  <si>
    <t>83aabb90-97e3-49a7-a3ed-3a04b8d92be4</t>
  </si>
  <si>
    <t>2026-03-28T08:06:02.797Z</t>
  </si>
  <si>
    <t>b1451370-4d1f-4e04-857b-3b09785a6672</t>
  </si>
  <si>
    <t>2026-03-28T08:06:02.915Z</t>
  </si>
  <si>
    <t>77c5c199-d551-470a-80e1-e1cf09ee8fc1</t>
  </si>
  <si>
    <t>2026-03-28T08:06:03.028Z</t>
  </si>
  <si>
    <t>6b5cb6c4-95d5-4cea-b416-32567568d4fe</t>
  </si>
  <si>
    <t>2026-03-28T08:06:03.125Z</t>
  </si>
  <si>
    <t>9898db77-3771-4c72-9eef-2fc499f2abcd</t>
  </si>
  <si>
    <t>2026-03-28T09:15:10.286Z</t>
  </si>
  <si>
    <t>LogID</t>
  </si>
  <si>
    <t>Action</t>
  </si>
  <si>
    <t>Entity</t>
  </si>
  <si>
    <t>EntityID</t>
  </si>
  <si>
    <t>Details</t>
  </si>
  <si>
    <t>PerformedBy</t>
  </si>
  <si>
    <t>Timestamp</t>
  </si>
  <si>
    <t>BULK_UPLOAD</t>
  </si>
  <si>
    <t>Inventory</t>
  </si>
  <si>
    <t>Model</t>
  </si>
  <si>
    <t>62e6b3bb-c780-47a9-b796-5c55bb8cd329</t>
  </si>
  <si>
    <t>c8f7f85f-e3f5-469d-bb1e-c25551e338a1</t>
  </si>
  <si>
    <t>BULK_DELETE</t>
  </si>
  <si>
    <t>Models</t>
  </si>
  <si>
    <t>Bulk deleted 0 models, 1 skipped (in use)</t>
  </si>
  <si>
    <t>2026-03-28T08:49:11.985Z</t>
  </si>
  <si>
    <t>9450fcef-72e4-4d78-a2e1-42439de3028d</t>
  </si>
  <si>
    <t>Bulk deleted 285 entries (0 not found)</t>
  </si>
  <si>
    <t>2026-03-28T08:49:42.718Z</t>
  </si>
  <si>
    <t>a2c99d4a-c078-46cb-bf1b-ebad1303ebf4</t>
  </si>
  <si>
    <t>DELETE</t>
  </si>
  <si>
    <t>Deleted model: Bolt92</t>
  </si>
  <si>
    <t>2026-03-28T09:12:26.361Z</t>
  </si>
  <si>
    <t>e8266ad3-b1dc-4d32-990f-5829f2e62bc2</t>
  </si>
  <si>
    <t>8ca6e107-c11b-4e70-9247-b7b9c33c8237</t>
  </si>
  <si>
    <t>Deleted model: Bolt</t>
  </si>
  <si>
    <t>2026-03-28T09:12:40.899Z</t>
  </si>
  <si>
    <t>dd60899b-c0e9-4dd5-9866-3dd8abfba860</t>
  </si>
  <si>
    <t>Uploaded D9 Shoes Sales Register - 10 03 2026.xlsx (append mode): 285 added, 0 updated, 0 duplicates, 61 errors</t>
  </si>
  <si>
    <t>2026-03-28T09:15:10.452Z</t>
  </si>
  <si>
    <t>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</si>
</sst>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E6" sqref="E6"/>
    </sheetView>
  </sheetViews>
  <sheetFormatPr defaultRowHeight="14.4" x14ac:dyDescent="0.3"/>
  <cols>
    <col min="1" max="2" width="20" customWidth="1"/>
    <col min="3" max="3" width="70" customWidth="1"/>
    <col min="4" max="4" width="15" customWidth="1"/>
    <col min="5" max="5" width="25" customWidth="1"/>
    <col min="6" max="6" width="2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796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86"/>
  <sheetViews>
    <sheetView topLeftCell="A435" workbookViewId="0"/>
  </sheetViews>
  <sheetFormatPr defaultRowHeight="14.4" x14ac:dyDescent="0.3"/>
  <cols>
    <col min="1" max="1" width="8" customWidth="1"/>
    <col min="2" max="2" width="22" customWidth="1"/>
    <col min="3" max="3" width="20" customWidth="1"/>
    <col min="4" max="4" width="10" customWidth="1"/>
    <col min="5" max="6" width="8" customWidth="1"/>
    <col min="7" max="7" width="22" customWidth="1"/>
    <col min="8" max="8" width="18" customWidth="1"/>
    <col min="9" max="9" width="8" customWidth="1"/>
    <col min="10" max="11" width="14" customWidth="1"/>
    <col min="12" max="12" width="16" customWidth="1"/>
    <col min="13" max="13" width="14" customWidth="1"/>
    <col min="14" max="14" width="16" customWidth="1"/>
    <col min="15" max="15" width="8" customWidth="1"/>
    <col min="16" max="17" width="14" customWidth="1"/>
    <col min="18" max="19" width="20" customWidth="1"/>
    <col min="20" max="20" width="12" customWidth="1"/>
    <col min="21" max="22" width="20" customWidth="1"/>
    <col min="23" max="23" width="15" customWidth="1"/>
    <col min="24" max="24" width="16" customWidth="1"/>
    <col min="25" max="25" width="25" customWidth="1"/>
    <col min="26" max="26" width="20" customWidth="1"/>
    <col min="27" max="27" width="22" customWidth="1"/>
    <col min="28" max="28" width="15" customWidth="1"/>
    <col min="29" max="29" width="12" customWidth="1"/>
  </cols>
  <sheetData>
    <row r="1" spans="1:29" s="2" customFormat="1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  <row r="2" spans="1:29" x14ac:dyDescent="0.3">
      <c r="A2">
        <v>1</v>
      </c>
      <c r="B2" t="s">
        <v>44</v>
      </c>
      <c r="C2" t="s">
        <v>45</v>
      </c>
      <c r="D2" t="s">
        <v>46</v>
      </c>
      <c r="E2" t="s">
        <v>47</v>
      </c>
      <c r="F2">
        <v>1</v>
      </c>
      <c r="G2">
        <v>2207</v>
      </c>
      <c r="H2">
        <v>0.5</v>
      </c>
      <c r="I2">
        <v>0.05</v>
      </c>
      <c r="J2">
        <v>1050.95</v>
      </c>
      <c r="K2">
        <v>52.547500000000007</v>
      </c>
      <c r="L2">
        <v>1103.4974999999999</v>
      </c>
      <c r="M2">
        <v>1103.5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 t="s">
        <v>50</v>
      </c>
      <c r="U2" t="s">
        <v>48</v>
      </c>
      <c r="V2" t="s">
        <v>51</v>
      </c>
      <c r="W2" t="s">
        <v>52</v>
      </c>
      <c r="X2" t="s">
        <v>53</v>
      </c>
      <c r="Y2" t="s">
        <v>48</v>
      </c>
      <c r="Z2" t="s">
        <v>54</v>
      </c>
      <c r="AA2" t="s">
        <v>55</v>
      </c>
      <c r="AB2" t="s">
        <v>12</v>
      </c>
      <c r="AC2" t="s">
        <v>56</v>
      </c>
    </row>
    <row r="3" spans="1:29" x14ac:dyDescent="0.3">
      <c r="A3">
        <v>2</v>
      </c>
      <c r="B3" t="s">
        <v>44</v>
      </c>
      <c r="C3" t="s">
        <v>57</v>
      </c>
      <c r="D3" t="s">
        <v>46</v>
      </c>
      <c r="E3" t="s">
        <v>47</v>
      </c>
      <c r="F3">
        <v>1</v>
      </c>
      <c r="G3">
        <v>1967</v>
      </c>
      <c r="H3">
        <v>0.5</v>
      </c>
      <c r="I3">
        <v>0.05</v>
      </c>
      <c r="J3">
        <v>936.67</v>
      </c>
      <c r="K3">
        <v>46.833500000000001</v>
      </c>
      <c r="L3">
        <v>983.50349999999992</v>
      </c>
      <c r="M3">
        <v>983.5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49</v>
      </c>
      <c r="T3" t="s">
        <v>50</v>
      </c>
      <c r="U3" t="s">
        <v>48</v>
      </c>
      <c r="V3" t="s">
        <v>51</v>
      </c>
      <c r="W3" t="s">
        <v>52</v>
      </c>
      <c r="X3" t="s">
        <v>53</v>
      </c>
      <c r="Y3" t="s">
        <v>48</v>
      </c>
      <c r="Z3" t="s">
        <v>58</v>
      </c>
      <c r="AA3" t="s">
        <v>55</v>
      </c>
      <c r="AB3" t="s">
        <v>12</v>
      </c>
      <c r="AC3" t="s">
        <v>56</v>
      </c>
    </row>
    <row r="4" spans="1:29" x14ac:dyDescent="0.3">
      <c r="A4">
        <v>3</v>
      </c>
      <c r="B4" t="s">
        <v>44</v>
      </c>
      <c r="C4" t="s">
        <v>57</v>
      </c>
      <c r="D4" t="s">
        <v>59</v>
      </c>
      <c r="E4" t="s">
        <v>47</v>
      </c>
      <c r="F4">
        <v>1</v>
      </c>
      <c r="G4">
        <v>1967</v>
      </c>
      <c r="H4">
        <v>0.5</v>
      </c>
      <c r="I4">
        <v>0.05</v>
      </c>
      <c r="J4">
        <v>936.67</v>
      </c>
      <c r="K4">
        <v>46.833500000000001</v>
      </c>
      <c r="L4">
        <v>983.50349999999992</v>
      </c>
      <c r="M4">
        <v>983.5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60</v>
      </c>
      <c r="T4" t="s">
        <v>50</v>
      </c>
      <c r="U4" t="s">
        <v>61</v>
      </c>
      <c r="V4" t="s">
        <v>51</v>
      </c>
      <c r="W4" t="s">
        <v>52</v>
      </c>
      <c r="X4" t="s">
        <v>53</v>
      </c>
      <c r="Y4" t="s">
        <v>48</v>
      </c>
      <c r="Z4" t="s">
        <v>62</v>
      </c>
      <c r="AA4" t="s">
        <v>63</v>
      </c>
      <c r="AB4" t="s">
        <v>12</v>
      </c>
      <c r="AC4" t="s">
        <v>56</v>
      </c>
    </row>
    <row r="5" spans="1:29" x14ac:dyDescent="0.3">
      <c r="A5">
        <v>4</v>
      </c>
      <c r="B5" t="s">
        <v>44</v>
      </c>
      <c r="C5" t="s">
        <v>64</v>
      </c>
      <c r="D5" t="s">
        <v>65</v>
      </c>
      <c r="E5" t="s">
        <v>47</v>
      </c>
      <c r="F5">
        <v>1</v>
      </c>
      <c r="G5">
        <v>4500</v>
      </c>
      <c r="H5">
        <v>0.5</v>
      </c>
      <c r="I5">
        <v>0.18</v>
      </c>
      <c r="J5">
        <v>1906.78</v>
      </c>
      <c r="K5">
        <v>343.22039999999998</v>
      </c>
      <c r="L5">
        <v>2250.0003999999999</v>
      </c>
      <c r="M5">
        <v>2025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66</v>
      </c>
      <c r="T5" t="s">
        <v>50</v>
      </c>
      <c r="U5" t="s">
        <v>61</v>
      </c>
      <c r="V5" t="s">
        <v>51</v>
      </c>
      <c r="W5" t="s">
        <v>52</v>
      </c>
      <c r="X5" t="s">
        <v>53</v>
      </c>
      <c r="Y5" t="s">
        <v>48</v>
      </c>
      <c r="Z5" t="s">
        <v>67</v>
      </c>
      <c r="AA5" t="s">
        <v>63</v>
      </c>
      <c r="AB5" t="s">
        <v>12</v>
      </c>
      <c r="AC5" t="s">
        <v>56</v>
      </c>
    </row>
    <row r="6" spans="1:29" x14ac:dyDescent="0.3">
      <c r="A6">
        <v>5</v>
      </c>
      <c r="B6" t="s">
        <v>68</v>
      </c>
      <c r="C6" t="s">
        <v>69</v>
      </c>
      <c r="D6" t="s">
        <v>70</v>
      </c>
      <c r="E6" t="s">
        <v>47</v>
      </c>
      <c r="F6">
        <v>1</v>
      </c>
      <c r="G6">
        <v>9000</v>
      </c>
      <c r="H6">
        <v>0.5</v>
      </c>
      <c r="I6">
        <v>0.18</v>
      </c>
      <c r="J6">
        <v>3813.75</v>
      </c>
      <c r="K6">
        <v>686.47500000000002</v>
      </c>
      <c r="L6">
        <v>4500.2250000000004</v>
      </c>
      <c r="M6">
        <v>4500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71</v>
      </c>
      <c r="T6" t="s">
        <v>50</v>
      </c>
      <c r="U6" t="s">
        <v>48</v>
      </c>
      <c r="V6" t="s">
        <v>51</v>
      </c>
      <c r="W6" t="s">
        <v>52</v>
      </c>
      <c r="X6" t="s">
        <v>53</v>
      </c>
      <c r="Y6" t="s">
        <v>48</v>
      </c>
      <c r="Z6" t="s">
        <v>72</v>
      </c>
      <c r="AA6" t="s">
        <v>63</v>
      </c>
      <c r="AB6" t="s">
        <v>12</v>
      </c>
      <c r="AC6" t="s">
        <v>56</v>
      </c>
    </row>
    <row r="7" spans="1:29" x14ac:dyDescent="0.3">
      <c r="A7">
        <v>6</v>
      </c>
      <c r="B7" t="s">
        <v>68</v>
      </c>
      <c r="C7" t="s">
        <v>69</v>
      </c>
      <c r="D7" t="s">
        <v>70</v>
      </c>
      <c r="E7" t="s">
        <v>47</v>
      </c>
      <c r="F7">
        <v>1</v>
      </c>
      <c r="G7">
        <v>9000</v>
      </c>
      <c r="H7">
        <v>0.5</v>
      </c>
      <c r="I7">
        <v>0.18</v>
      </c>
      <c r="J7">
        <v>3813.75</v>
      </c>
      <c r="K7">
        <v>686.47500000000002</v>
      </c>
      <c r="L7">
        <v>4500.2250000000004</v>
      </c>
      <c r="M7">
        <v>4500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73</v>
      </c>
      <c r="T7" t="s">
        <v>50</v>
      </c>
      <c r="U7" t="s">
        <v>61</v>
      </c>
      <c r="V7" t="s">
        <v>51</v>
      </c>
      <c r="W7" t="s">
        <v>52</v>
      </c>
      <c r="X7" t="s">
        <v>53</v>
      </c>
      <c r="Y7" t="s">
        <v>48</v>
      </c>
      <c r="Z7" t="s">
        <v>74</v>
      </c>
      <c r="AA7" t="s">
        <v>63</v>
      </c>
      <c r="AB7" t="s">
        <v>12</v>
      </c>
      <c r="AC7" t="s">
        <v>56</v>
      </c>
    </row>
    <row r="8" spans="1:29" x14ac:dyDescent="0.3">
      <c r="A8">
        <v>7</v>
      </c>
      <c r="B8" t="s">
        <v>44</v>
      </c>
      <c r="C8" t="s">
        <v>75</v>
      </c>
      <c r="D8" t="s">
        <v>76</v>
      </c>
      <c r="E8" t="s">
        <v>47</v>
      </c>
      <c r="F8">
        <v>1</v>
      </c>
      <c r="G8">
        <v>1967</v>
      </c>
      <c r="H8">
        <v>0.5</v>
      </c>
      <c r="I8">
        <v>0.05</v>
      </c>
      <c r="J8">
        <v>936.67</v>
      </c>
      <c r="K8">
        <v>46.833500000000001</v>
      </c>
      <c r="L8">
        <v>983.50349999999992</v>
      </c>
      <c r="M8">
        <v>983.5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77</v>
      </c>
      <c r="T8" t="s">
        <v>50</v>
      </c>
      <c r="U8" t="s">
        <v>48</v>
      </c>
      <c r="V8" t="s">
        <v>51</v>
      </c>
      <c r="W8" t="s">
        <v>52</v>
      </c>
      <c r="X8" t="s">
        <v>53</v>
      </c>
      <c r="Y8" t="s">
        <v>48</v>
      </c>
      <c r="Z8" t="s">
        <v>78</v>
      </c>
      <c r="AA8" t="s">
        <v>79</v>
      </c>
      <c r="AB8" t="s">
        <v>12</v>
      </c>
      <c r="AC8" t="s">
        <v>56</v>
      </c>
    </row>
    <row r="9" spans="1:29" x14ac:dyDescent="0.3">
      <c r="A9">
        <v>8</v>
      </c>
      <c r="B9" t="s">
        <v>44</v>
      </c>
      <c r="C9" t="s">
        <v>75</v>
      </c>
      <c r="D9" t="s">
        <v>76</v>
      </c>
      <c r="E9" t="s">
        <v>47</v>
      </c>
      <c r="F9">
        <v>1</v>
      </c>
      <c r="G9">
        <v>1967</v>
      </c>
      <c r="H9">
        <v>0.5</v>
      </c>
      <c r="I9">
        <v>0.05</v>
      </c>
      <c r="J9">
        <v>936.67</v>
      </c>
      <c r="K9">
        <v>46.833500000000001</v>
      </c>
      <c r="L9">
        <v>983.50349999999992</v>
      </c>
      <c r="M9">
        <v>983.5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80</v>
      </c>
      <c r="T9" t="s">
        <v>50</v>
      </c>
      <c r="U9" t="s">
        <v>48</v>
      </c>
      <c r="V9" t="s">
        <v>51</v>
      </c>
      <c r="W9" t="s">
        <v>52</v>
      </c>
      <c r="X9" t="s">
        <v>53</v>
      </c>
      <c r="Y9" t="s">
        <v>48</v>
      </c>
      <c r="Z9" t="s">
        <v>81</v>
      </c>
      <c r="AA9" t="s">
        <v>79</v>
      </c>
      <c r="AB9" t="s">
        <v>12</v>
      </c>
      <c r="AC9" t="s">
        <v>56</v>
      </c>
    </row>
    <row r="10" spans="1:29" x14ac:dyDescent="0.3">
      <c r="A10">
        <v>9</v>
      </c>
      <c r="B10" t="s">
        <v>44</v>
      </c>
      <c r="C10" t="s">
        <v>82</v>
      </c>
      <c r="D10" t="s">
        <v>46</v>
      </c>
      <c r="E10" t="s">
        <v>83</v>
      </c>
      <c r="F10">
        <v>1</v>
      </c>
      <c r="G10">
        <v>2207</v>
      </c>
      <c r="H10">
        <v>0.52</v>
      </c>
      <c r="I10">
        <v>0.05</v>
      </c>
      <c r="J10">
        <v>1008.91</v>
      </c>
      <c r="K10">
        <v>50.445500000000003</v>
      </c>
      <c r="L10">
        <v>1059.3554999999999</v>
      </c>
      <c r="M10">
        <v>1103.5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84</v>
      </c>
      <c r="T10" t="s">
        <v>50</v>
      </c>
      <c r="U10" t="s">
        <v>48</v>
      </c>
      <c r="V10" t="s">
        <v>51</v>
      </c>
      <c r="W10" t="s">
        <v>52</v>
      </c>
      <c r="X10" t="s">
        <v>53</v>
      </c>
      <c r="Y10" t="s">
        <v>48</v>
      </c>
      <c r="Z10" t="s">
        <v>85</v>
      </c>
      <c r="AA10" t="s">
        <v>79</v>
      </c>
      <c r="AB10" t="s">
        <v>12</v>
      </c>
      <c r="AC10" t="s">
        <v>56</v>
      </c>
    </row>
    <row r="11" spans="1:29" x14ac:dyDescent="0.3">
      <c r="A11">
        <v>10</v>
      </c>
      <c r="B11" t="s">
        <v>44</v>
      </c>
      <c r="C11" t="s">
        <v>45</v>
      </c>
      <c r="D11" t="s">
        <v>86</v>
      </c>
      <c r="E11" t="s">
        <v>47</v>
      </c>
      <c r="F11">
        <v>1</v>
      </c>
      <c r="G11">
        <v>2207</v>
      </c>
      <c r="H11">
        <v>0.5</v>
      </c>
      <c r="I11">
        <v>0.05</v>
      </c>
      <c r="J11">
        <v>1050.95</v>
      </c>
      <c r="K11">
        <v>73.571428571428541</v>
      </c>
      <c r="L11">
        <v>1103.4974999999999</v>
      </c>
      <c r="M11">
        <v>1545</v>
      </c>
      <c r="N11">
        <v>1545</v>
      </c>
      <c r="O11" t="s">
        <v>48</v>
      </c>
      <c r="P11">
        <v>1471.4285714285709</v>
      </c>
      <c r="Q11" t="s">
        <v>48</v>
      </c>
      <c r="R11">
        <v>1544.9999999999993</v>
      </c>
      <c r="S11" t="s">
        <v>87</v>
      </c>
      <c r="T11" t="s">
        <v>88</v>
      </c>
      <c r="U11" t="s">
        <v>89</v>
      </c>
      <c r="V11" t="s">
        <v>51</v>
      </c>
      <c r="W11" t="s">
        <v>52</v>
      </c>
      <c r="X11" t="s">
        <v>90</v>
      </c>
      <c r="Y11" t="s">
        <v>48</v>
      </c>
      <c r="Z11" t="s">
        <v>91</v>
      </c>
      <c r="AA11" t="s">
        <v>92</v>
      </c>
      <c r="AB11" t="s">
        <v>12</v>
      </c>
      <c r="AC11" t="s">
        <v>56</v>
      </c>
    </row>
    <row r="12" spans="1:29" x14ac:dyDescent="0.3">
      <c r="A12">
        <v>11</v>
      </c>
      <c r="B12" t="s">
        <v>44</v>
      </c>
      <c r="C12" t="s">
        <v>75</v>
      </c>
      <c r="D12" t="s">
        <v>59</v>
      </c>
      <c r="E12" t="s">
        <v>47</v>
      </c>
      <c r="F12">
        <v>1</v>
      </c>
      <c r="G12">
        <v>1967</v>
      </c>
      <c r="H12">
        <v>0.5</v>
      </c>
      <c r="I12">
        <v>0.05</v>
      </c>
      <c r="J12">
        <v>936.67</v>
      </c>
      <c r="K12">
        <v>65.571428571428541</v>
      </c>
      <c r="L12">
        <v>983.50349999999992</v>
      </c>
      <c r="M12">
        <v>1377</v>
      </c>
      <c r="N12">
        <v>1377</v>
      </c>
      <c r="O12" t="s">
        <v>48</v>
      </c>
      <c r="P12">
        <v>1311.4285714285709</v>
      </c>
      <c r="Q12" t="s">
        <v>48</v>
      </c>
      <c r="R12">
        <v>1376.9999999999993</v>
      </c>
      <c r="S12" t="s">
        <v>77</v>
      </c>
      <c r="T12" t="s">
        <v>88</v>
      </c>
      <c r="U12" t="s">
        <v>89</v>
      </c>
      <c r="V12" t="s">
        <v>51</v>
      </c>
      <c r="W12" t="s">
        <v>52</v>
      </c>
      <c r="X12" t="s">
        <v>90</v>
      </c>
      <c r="Y12" t="s">
        <v>48</v>
      </c>
      <c r="Z12" t="s">
        <v>93</v>
      </c>
      <c r="AA12" t="s">
        <v>92</v>
      </c>
      <c r="AB12" t="s">
        <v>12</v>
      </c>
      <c r="AC12" t="s">
        <v>56</v>
      </c>
    </row>
    <row r="13" spans="1:29" x14ac:dyDescent="0.3">
      <c r="A13">
        <v>12</v>
      </c>
      <c r="B13" t="s">
        <v>44</v>
      </c>
      <c r="C13" t="s">
        <v>75</v>
      </c>
      <c r="D13" t="s">
        <v>65</v>
      </c>
      <c r="E13" t="s">
        <v>47</v>
      </c>
      <c r="F13">
        <v>1</v>
      </c>
      <c r="G13">
        <v>1967</v>
      </c>
      <c r="H13">
        <v>0.5</v>
      </c>
      <c r="I13">
        <v>0.05</v>
      </c>
      <c r="J13">
        <v>936.67</v>
      </c>
      <c r="K13">
        <v>70.238095238095212</v>
      </c>
      <c r="L13">
        <v>983.50349999999992</v>
      </c>
      <c r="M13">
        <v>1475</v>
      </c>
      <c r="N13">
        <v>1475</v>
      </c>
      <c r="O13" t="s">
        <v>48</v>
      </c>
      <c r="P13">
        <v>1404.7619047619041</v>
      </c>
      <c r="Q13" t="s">
        <v>48</v>
      </c>
      <c r="R13">
        <v>1474.9999999999993</v>
      </c>
      <c r="S13" t="s">
        <v>94</v>
      </c>
      <c r="T13" t="s">
        <v>88</v>
      </c>
      <c r="U13" t="s">
        <v>89</v>
      </c>
      <c r="V13" t="s">
        <v>51</v>
      </c>
      <c r="W13" t="s">
        <v>52</v>
      </c>
      <c r="X13" t="s">
        <v>90</v>
      </c>
      <c r="Y13" t="s">
        <v>48</v>
      </c>
      <c r="Z13" t="s">
        <v>95</v>
      </c>
      <c r="AA13" t="s">
        <v>92</v>
      </c>
      <c r="AB13" t="s">
        <v>12</v>
      </c>
      <c r="AC13" t="s">
        <v>56</v>
      </c>
    </row>
    <row r="14" spans="1:29" x14ac:dyDescent="0.3">
      <c r="A14">
        <v>13</v>
      </c>
      <c r="B14" t="s">
        <v>44</v>
      </c>
      <c r="C14" t="s">
        <v>57</v>
      </c>
      <c r="D14" t="s">
        <v>86</v>
      </c>
      <c r="E14" t="s">
        <v>47</v>
      </c>
      <c r="F14">
        <v>1</v>
      </c>
      <c r="G14">
        <v>1967</v>
      </c>
      <c r="H14">
        <v>0.5</v>
      </c>
      <c r="I14">
        <v>0.05</v>
      </c>
      <c r="J14">
        <v>936.67</v>
      </c>
      <c r="K14">
        <v>65.571428571428541</v>
      </c>
      <c r="L14">
        <v>983.50349999999992</v>
      </c>
      <c r="M14">
        <v>1377</v>
      </c>
      <c r="N14">
        <v>1377</v>
      </c>
      <c r="O14" t="s">
        <v>48</v>
      </c>
      <c r="P14">
        <v>1311.4285714285709</v>
      </c>
      <c r="Q14" t="s">
        <v>48</v>
      </c>
      <c r="R14">
        <v>1376.9999999999993</v>
      </c>
      <c r="S14" t="s">
        <v>96</v>
      </c>
      <c r="T14" t="s">
        <v>88</v>
      </c>
      <c r="U14" t="s">
        <v>89</v>
      </c>
      <c r="V14" t="s">
        <v>51</v>
      </c>
      <c r="W14" t="s">
        <v>52</v>
      </c>
      <c r="X14" t="s">
        <v>90</v>
      </c>
      <c r="Y14" t="s">
        <v>48</v>
      </c>
      <c r="Z14" t="s">
        <v>97</v>
      </c>
      <c r="AA14" t="s">
        <v>92</v>
      </c>
      <c r="AB14" t="s">
        <v>12</v>
      </c>
      <c r="AC14" t="s">
        <v>56</v>
      </c>
    </row>
    <row r="15" spans="1:29" x14ac:dyDescent="0.3">
      <c r="A15">
        <v>14</v>
      </c>
      <c r="B15" t="s">
        <v>44</v>
      </c>
      <c r="C15" t="s">
        <v>57</v>
      </c>
      <c r="D15" t="s">
        <v>76</v>
      </c>
      <c r="E15" t="s">
        <v>47</v>
      </c>
      <c r="F15">
        <v>1</v>
      </c>
      <c r="G15">
        <v>1967</v>
      </c>
      <c r="H15">
        <v>0.5</v>
      </c>
      <c r="I15">
        <v>0.05</v>
      </c>
      <c r="J15">
        <v>936.67</v>
      </c>
      <c r="K15">
        <v>65.571428571428541</v>
      </c>
      <c r="L15">
        <v>983.50349999999992</v>
      </c>
      <c r="M15">
        <v>1377</v>
      </c>
      <c r="N15">
        <v>1377</v>
      </c>
      <c r="O15" t="s">
        <v>48</v>
      </c>
      <c r="P15">
        <v>1311.4285714285709</v>
      </c>
      <c r="Q15" t="s">
        <v>48</v>
      </c>
      <c r="R15">
        <v>1376.9999999999993</v>
      </c>
      <c r="S15" t="s">
        <v>77</v>
      </c>
      <c r="T15" t="s">
        <v>88</v>
      </c>
      <c r="U15" t="s">
        <v>89</v>
      </c>
      <c r="V15" t="s">
        <v>51</v>
      </c>
      <c r="W15" t="s">
        <v>52</v>
      </c>
      <c r="X15" t="s">
        <v>90</v>
      </c>
      <c r="Y15" t="s">
        <v>48</v>
      </c>
      <c r="Z15" t="s">
        <v>98</v>
      </c>
      <c r="AA15" t="s">
        <v>92</v>
      </c>
      <c r="AB15" t="s">
        <v>12</v>
      </c>
      <c r="AC15" t="s">
        <v>56</v>
      </c>
    </row>
    <row r="16" spans="1:29" x14ac:dyDescent="0.3">
      <c r="A16">
        <v>15</v>
      </c>
      <c r="B16" t="s">
        <v>44</v>
      </c>
      <c r="C16" t="s">
        <v>57</v>
      </c>
      <c r="D16" t="s">
        <v>99</v>
      </c>
      <c r="E16" t="s">
        <v>47</v>
      </c>
      <c r="F16">
        <v>1</v>
      </c>
      <c r="G16">
        <v>1967</v>
      </c>
      <c r="H16">
        <v>0.5</v>
      </c>
      <c r="I16">
        <v>0.05</v>
      </c>
      <c r="J16">
        <v>936.67</v>
      </c>
      <c r="K16">
        <v>65.571428571428541</v>
      </c>
      <c r="L16">
        <v>983.50349999999992</v>
      </c>
      <c r="M16">
        <v>1377</v>
      </c>
      <c r="N16">
        <v>1377</v>
      </c>
      <c r="O16" t="s">
        <v>48</v>
      </c>
      <c r="P16">
        <v>1311.4285714285709</v>
      </c>
      <c r="Q16" t="s">
        <v>48</v>
      </c>
      <c r="R16">
        <v>1376.9999999999993</v>
      </c>
      <c r="S16" t="s">
        <v>96</v>
      </c>
      <c r="T16" t="s">
        <v>88</v>
      </c>
      <c r="U16" t="s">
        <v>89</v>
      </c>
      <c r="V16" t="s">
        <v>51</v>
      </c>
      <c r="W16" t="s">
        <v>52</v>
      </c>
      <c r="X16" t="s">
        <v>90</v>
      </c>
      <c r="Y16" t="s">
        <v>48</v>
      </c>
      <c r="Z16" t="s">
        <v>100</v>
      </c>
      <c r="AA16" t="s">
        <v>92</v>
      </c>
      <c r="AB16" t="s">
        <v>12</v>
      </c>
      <c r="AC16" t="s">
        <v>56</v>
      </c>
    </row>
    <row r="17" spans="1:29" x14ac:dyDescent="0.3">
      <c r="A17">
        <v>16</v>
      </c>
      <c r="B17" t="s">
        <v>44</v>
      </c>
      <c r="C17" t="s">
        <v>64</v>
      </c>
      <c r="D17" t="s">
        <v>76</v>
      </c>
      <c r="E17" t="s">
        <v>47</v>
      </c>
      <c r="F17">
        <v>1</v>
      </c>
      <c r="G17">
        <v>4500</v>
      </c>
      <c r="H17">
        <v>0.5</v>
      </c>
      <c r="I17">
        <v>0.18</v>
      </c>
      <c r="J17">
        <v>1906.78</v>
      </c>
      <c r="K17">
        <v>480.50847457627111</v>
      </c>
      <c r="L17">
        <v>2250.0003999999999</v>
      </c>
      <c r="M17">
        <v>3150</v>
      </c>
      <c r="N17">
        <v>3150</v>
      </c>
      <c r="O17" t="s">
        <v>48</v>
      </c>
      <c r="P17">
        <v>2669.4915254237285</v>
      </c>
      <c r="Q17" t="s">
        <v>48</v>
      </c>
      <c r="R17">
        <v>3149.9999999999995</v>
      </c>
      <c r="S17" t="s">
        <v>101</v>
      </c>
      <c r="T17" t="s">
        <v>88</v>
      </c>
      <c r="U17" t="s">
        <v>89</v>
      </c>
      <c r="V17" t="s">
        <v>51</v>
      </c>
      <c r="W17" t="s">
        <v>52</v>
      </c>
      <c r="X17" t="s">
        <v>90</v>
      </c>
      <c r="Y17" t="s">
        <v>48</v>
      </c>
      <c r="Z17" t="s">
        <v>102</v>
      </c>
      <c r="AA17" t="s">
        <v>92</v>
      </c>
      <c r="AB17" t="s">
        <v>12</v>
      </c>
      <c r="AC17" t="s">
        <v>56</v>
      </c>
    </row>
    <row r="18" spans="1:29" x14ac:dyDescent="0.3">
      <c r="A18">
        <v>17</v>
      </c>
      <c r="B18" t="s">
        <v>44</v>
      </c>
      <c r="C18" t="s">
        <v>64</v>
      </c>
      <c r="D18" t="s">
        <v>59</v>
      </c>
      <c r="E18" t="s">
        <v>47</v>
      </c>
      <c r="F18">
        <v>1</v>
      </c>
      <c r="G18">
        <v>4500</v>
      </c>
      <c r="H18">
        <v>0.5</v>
      </c>
      <c r="I18">
        <v>0.18</v>
      </c>
      <c r="J18">
        <v>1906.78</v>
      </c>
      <c r="K18">
        <v>457.62711864406771</v>
      </c>
      <c r="L18">
        <v>2250.0003999999999</v>
      </c>
      <c r="M18">
        <v>3000</v>
      </c>
      <c r="N18">
        <v>3000</v>
      </c>
      <c r="O18" t="s">
        <v>48</v>
      </c>
      <c r="P18">
        <v>2542.3728813559319</v>
      </c>
      <c r="Q18" t="s">
        <v>48</v>
      </c>
      <c r="R18">
        <v>2999.9999999999995</v>
      </c>
      <c r="S18" t="s">
        <v>103</v>
      </c>
      <c r="T18" t="s">
        <v>88</v>
      </c>
      <c r="U18" t="s">
        <v>89</v>
      </c>
      <c r="V18" t="s">
        <v>51</v>
      </c>
      <c r="W18" t="s">
        <v>52</v>
      </c>
      <c r="X18" t="s">
        <v>90</v>
      </c>
      <c r="Y18" t="s">
        <v>48</v>
      </c>
      <c r="Z18" t="s">
        <v>104</v>
      </c>
      <c r="AA18" t="s">
        <v>92</v>
      </c>
      <c r="AB18" t="s">
        <v>12</v>
      </c>
      <c r="AC18" t="s">
        <v>56</v>
      </c>
    </row>
    <row r="19" spans="1:29" x14ac:dyDescent="0.3">
      <c r="A19">
        <v>18</v>
      </c>
      <c r="B19" t="s">
        <v>44</v>
      </c>
      <c r="C19" t="s">
        <v>64</v>
      </c>
      <c r="D19" t="s">
        <v>65</v>
      </c>
      <c r="E19" t="s">
        <v>47</v>
      </c>
      <c r="F19">
        <v>1</v>
      </c>
      <c r="G19">
        <v>4500</v>
      </c>
      <c r="H19">
        <v>0.5</v>
      </c>
      <c r="I19">
        <v>0.18</v>
      </c>
      <c r="J19">
        <v>1906.78</v>
      </c>
      <c r="K19">
        <v>377.54237288135585</v>
      </c>
      <c r="L19">
        <v>2250.0003999999999</v>
      </c>
      <c r="M19">
        <v>2475</v>
      </c>
      <c r="N19">
        <v>2475</v>
      </c>
      <c r="O19" t="s">
        <v>48</v>
      </c>
      <c r="P19">
        <v>2097.4576271186438</v>
      </c>
      <c r="Q19" t="s">
        <v>48</v>
      </c>
      <c r="R19">
        <v>2474.9999999999995</v>
      </c>
      <c r="S19" t="s">
        <v>105</v>
      </c>
      <c r="T19" t="s">
        <v>88</v>
      </c>
      <c r="U19" t="s">
        <v>106</v>
      </c>
      <c r="V19" t="s">
        <v>51</v>
      </c>
      <c r="W19" t="s">
        <v>52</v>
      </c>
      <c r="X19" t="s">
        <v>90</v>
      </c>
      <c r="Y19" t="s">
        <v>48</v>
      </c>
      <c r="Z19" t="s">
        <v>107</v>
      </c>
      <c r="AA19" t="s">
        <v>108</v>
      </c>
      <c r="AB19" t="s">
        <v>12</v>
      </c>
      <c r="AC19" t="s">
        <v>56</v>
      </c>
    </row>
    <row r="20" spans="1:29" x14ac:dyDescent="0.3">
      <c r="A20">
        <v>19</v>
      </c>
      <c r="B20" t="s">
        <v>44</v>
      </c>
      <c r="C20" t="s">
        <v>64</v>
      </c>
      <c r="D20" t="s">
        <v>99</v>
      </c>
      <c r="E20" t="s">
        <v>47</v>
      </c>
      <c r="F20">
        <v>1</v>
      </c>
      <c r="G20">
        <v>4500</v>
      </c>
      <c r="H20">
        <v>0.5</v>
      </c>
      <c r="I20">
        <v>0.18</v>
      </c>
      <c r="J20">
        <v>1906.78</v>
      </c>
      <c r="K20">
        <v>457.62711864406771</v>
      </c>
      <c r="L20">
        <v>2250.0003999999999</v>
      </c>
      <c r="M20">
        <v>3000</v>
      </c>
      <c r="N20">
        <v>3000</v>
      </c>
      <c r="O20" t="s">
        <v>48</v>
      </c>
      <c r="P20">
        <v>2542.3728813559319</v>
      </c>
      <c r="Q20" t="s">
        <v>48</v>
      </c>
      <c r="R20">
        <v>2999.9999999999995</v>
      </c>
      <c r="S20" t="s">
        <v>109</v>
      </c>
      <c r="T20" t="s">
        <v>88</v>
      </c>
      <c r="U20" t="s">
        <v>106</v>
      </c>
      <c r="V20" t="s">
        <v>51</v>
      </c>
      <c r="W20" t="s">
        <v>52</v>
      </c>
      <c r="X20" t="s">
        <v>90</v>
      </c>
      <c r="Y20" t="s">
        <v>48</v>
      </c>
      <c r="Z20" t="s">
        <v>110</v>
      </c>
      <c r="AA20" t="s">
        <v>108</v>
      </c>
      <c r="AB20" t="s">
        <v>12</v>
      </c>
      <c r="AC20" t="s">
        <v>56</v>
      </c>
    </row>
    <row r="21" spans="1:29" x14ac:dyDescent="0.3">
      <c r="A21">
        <v>20</v>
      </c>
      <c r="B21" t="s">
        <v>44</v>
      </c>
      <c r="C21" t="s">
        <v>111</v>
      </c>
      <c r="D21" t="s">
        <v>59</v>
      </c>
      <c r="E21" t="s">
        <v>47</v>
      </c>
      <c r="F21">
        <v>1</v>
      </c>
      <c r="G21">
        <v>4590</v>
      </c>
      <c r="H21">
        <v>0.5</v>
      </c>
      <c r="I21">
        <v>0.18</v>
      </c>
      <c r="J21">
        <v>1944.92</v>
      </c>
      <c r="K21">
        <v>457.62711864406771</v>
      </c>
      <c r="L21">
        <v>2295.0056</v>
      </c>
      <c r="M21">
        <v>3000</v>
      </c>
      <c r="N21">
        <v>3000</v>
      </c>
      <c r="O21" t="s">
        <v>48</v>
      </c>
      <c r="P21">
        <v>2542.3728813559319</v>
      </c>
      <c r="Q21" t="s">
        <v>48</v>
      </c>
      <c r="R21">
        <v>2999.9999999999995</v>
      </c>
      <c r="S21" t="s">
        <v>112</v>
      </c>
      <c r="T21" t="s">
        <v>88</v>
      </c>
      <c r="U21" t="s">
        <v>89</v>
      </c>
      <c r="V21" t="s">
        <v>51</v>
      </c>
      <c r="W21" t="s">
        <v>52</v>
      </c>
      <c r="X21" t="s">
        <v>90</v>
      </c>
      <c r="Y21" t="s">
        <v>48</v>
      </c>
      <c r="Z21" t="s">
        <v>113</v>
      </c>
      <c r="AA21" t="s">
        <v>108</v>
      </c>
      <c r="AB21" t="s">
        <v>12</v>
      </c>
      <c r="AC21" t="s">
        <v>56</v>
      </c>
    </row>
    <row r="22" spans="1:29" x14ac:dyDescent="0.3">
      <c r="A22">
        <v>21</v>
      </c>
      <c r="B22" t="s">
        <v>68</v>
      </c>
      <c r="C22" t="s">
        <v>114</v>
      </c>
      <c r="D22" t="s">
        <v>59</v>
      </c>
      <c r="E22" t="s">
        <v>47</v>
      </c>
      <c r="F22">
        <v>1</v>
      </c>
      <c r="G22">
        <v>5000</v>
      </c>
      <c r="H22">
        <v>0.5</v>
      </c>
      <c r="I22">
        <v>0.18</v>
      </c>
      <c r="J22">
        <v>2118.65</v>
      </c>
      <c r="K22">
        <v>533.89830508474574</v>
      </c>
      <c r="L22">
        <v>2500.0070000000001</v>
      </c>
      <c r="M22">
        <v>3500</v>
      </c>
      <c r="N22">
        <v>3500</v>
      </c>
      <c r="O22" t="s">
        <v>48</v>
      </c>
      <c r="P22">
        <v>2966.101694915254</v>
      </c>
      <c r="Q22" t="s">
        <v>48</v>
      </c>
      <c r="R22">
        <v>3500</v>
      </c>
      <c r="S22" t="s">
        <v>77</v>
      </c>
      <c r="T22" t="s">
        <v>88</v>
      </c>
      <c r="U22" t="s">
        <v>89</v>
      </c>
      <c r="V22" t="s">
        <v>51</v>
      </c>
      <c r="W22" t="s">
        <v>52</v>
      </c>
      <c r="X22" t="s">
        <v>90</v>
      </c>
      <c r="Y22" t="s">
        <v>48</v>
      </c>
      <c r="Z22" t="s">
        <v>115</v>
      </c>
      <c r="AA22" t="s">
        <v>108</v>
      </c>
      <c r="AB22" t="s">
        <v>12</v>
      </c>
      <c r="AC22" t="s">
        <v>56</v>
      </c>
    </row>
    <row r="23" spans="1:29" x14ac:dyDescent="0.3">
      <c r="A23">
        <v>22</v>
      </c>
      <c r="B23" t="s">
        <v>68</v>
      </c>
      <c r="C23" t="s">
        <v>114</v>
      </c>
      <c r="D23" t="s">
        <v>65</v>
      </c>
      <c r="E23" t="s">
        <v>47</v>
      </c>
      <c r="F23">
        <v>1</v>
      </c>
      <c r="G23">
        <v>5000</v>
      </c>
      <c r="H23">
        <v>0.5</v>
      </c>
      <c r="I23">
        <v>0.18</v>
      </c>
      <c r="J23">
        <v>2118.65</v>
      </c>
      <c r="K23">
        <v>533.89830508474574</v>
      </c>
      <c r="L23">
        <v>2500.0070000000001</v>
      </c>
      <c r="M23">
        <v>3500</v>
      </c>
      <c r="N23">
        <v>3500</v>
      </c>
      <c r="O23" t="s">
        <v>48</v>
      </c>
      <c r="P23">
        <v>2966.101694915254</v>
      </c>
      <c r="Q23" t="s">
        <v>48</v>
      </c>
      <c r="R23">
        <v>3500</v>
      </c>
      <c r="S23" t="s">
        <v>77</v>
      </c>
      <c r="T23" t="s">
        <v>88</v>
      </c>
      <c r="U23" t="s">
        <v>89</v>
      </c>
      <c r="V23" t="s">
        <v>51</v>
      </c>
      <c r="W23" t="s">
        <v>52</v>
      </c>
      <c r="X23" t="s">
        <v>90</v>
      </c>
      <c r="Y23" t="s">
        <v>48</v>
      </c>
      <c r="Z23" t="s">
        <v>116</v>
      </c>
      <c r="AA23" t="s">
        <v>108</v>
      </c>
      <c r="AB23" t="s">
        <v>12</v>
      </c>
      <c r="AC23" t="s">
        <v>56</v>
      </c>
    </row>
    <row r="24" spans="1:29" x14ac:dyDescent="0.3">
      <c r="A24">
        <v>23</v>
      </c>
      <c r="B24" t="s">
        <v>68</v>
      </c>
      <c r="C24" t="s">
        <v>69</v>
      </c>
      <c r="D24" t="s">
        <v>117</v>
      </c>
      <c r="E24" t="s">
        <v>47</v>
      </c>
      <c r="F24">
        <v>1</v>
      </c>
      <c r="G24">
        <v>9000</v>
      </c>
      <c r="H24">
        <v>0.5</v>
      </c>
      <c r="I24">
        <v>0.18</v>
      </c>
      <c r="J24">
        <v>3813.75</v>
      </c>
      <c r="K24">
        <v>892.37288135593201</v>
      </c>
      <c r="L24">
        <v>4500.2250000000004</v>
      </c>
      <c r="M24">
        <v>5850</v>
      </c>
      <c r="N24">
        <v>5850</v>
      </c>
      <c r="O24" t="s">
        <v>48</v>
      </c>
      <c r="P24">
        <v>4957.6271186440672</v>
      </c>
      <c r="Q24" t="s">
        <v>48</v>
      </c>
      <c r="R24">
        <v>5849.9999999999991</v>
      </c>
      <c r="S24" t="s">
        <v>118</v>
      </c>
      <c r="T24" t="s">
        <v>50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119</v>
      </c>
      <c r="AA24" t="s">
        <v>108</v>
      </c>
      <c r="AB24" t="s">
        <v>12</v>
      </c>
      <c r="AC24" t="s">
        <v>56</v>
      </c>
    </row>
    <row r="25" spans="1:29" x14ac:dyDescent="0.3">
      <c r="A25">
        <v>24</v>
      </c>
      <c r="B25" t="s">
        <v>68</v>
      </c>
      <c r="C25" t="s">
        <v>69</v>
      </c>
      <c r="D25" t="s">
        <v>59</v>
      </c>
      <c r="E25" t="s">
        <v>47</v>
      </c>
      <c r="F25">
        <v>1</v>
      </c>
      <c r="G25">
        <v>9000</v>
      </c>
      <c r="H25">
        <v>0.5</v>
      </c>
      <c r="I25">
        <v>0.18</v>
      </c>
      <c r="J25">
        <v>3813.75</v>
      </c>
      <c r="K25">
        <v>892.37288135593201</v>
      </c>
      <c r="L25">
        <v>4500.2250000000004</v>
      </c>
      <c r="M25">
        <v>5850</v>
      </c>
      <c r="N25">
        <v>5850</v>
      </c>
      <c r="O25" t="s">
        <v>48</v>
      </c>
      <c r="P25">
        <v>4957.6271186440672</v>
      </c>
      <c r="Q25" t="s">
        <v>48</v>
      </c>
      <c r="R25">
        <v>5849.9999999999991</v>
      </c>
      <c r="S25" t="s">
        <v>120</v>
      </c>
      <c r="T25" t="s">
        <v>88</v>
      </c>
      <c r="U25" t="s">
        <v>106</v>
      </c>
      <c r="V25" t="s">
        <v>51</v>
      </c>
      <c r="W25" t="s">
        <v>52</v>
      </c>
      <c r="X25" t="s">
        <v>90</v>
      </c>
      <c r="Y25" t="s">
        <v>48</v>
      </c>
      <c r="Z25" t="s">
        <v>121</v>
      </c>
      <c r="AA25" t="s">
        <v>122</v>
      </c>
      <c r="AB25" t="s">
        <v>12</v>
      </c>
      <c r="AC25" t="s">
        <v>56</v>
      </c>
    </row>
    <row r="26" spans="1:29" x14ac:dyDescent="0.3">
      <c r="A26">
        <v>25</v>
      </c>
      <c r="B26" t="s">
        <v>44</v>
      </c>
      <c r="C26" t="s">
        <v>45</v>
      </c>
      <c r="D26" t="s">
        <v>123</v>
      </c>
      <c r="E26" t="s">
        <v>47</v>
      </c>
      <c r="F26">
        <v>1</v>
      </c>
      <c r="G26">
        <v>2207</v>
      </c>
      <c r="H26">
        <v>0.5</v>
      </c>
      <c r="I26">
        <v>0.05</v>
      </c>
      <c r="J26">
        <v>1050.95</v>
      </c>
      <c r="K26">
        <v>68.3333333333333</v>
      </c>
      <c r="L26">
        <v>1103.4974999999999</v>
      </c>
      <c r="M26">
        <v>1435</v>
      </c>
      <c r="N26">
        <v>1435</v>
      </c>
      <c r="O26" t="s">
        <v>48</v>
      </c>
      <c r="P26">
        <v>1366.6666666666661</v>
      </c>
      <c r="Q26" t="s">
        <v>48</v>
      </c>
      <c r="R26">
        <v>1434.9999999999993</v>
      </c>
      <c r="S26" t="s">
        <v>124</v>
      </c>
      <c r="T26" t="s">
        <v>88</v>
      </c>
      <c r="U26" t="s">
        <v>89</v>
      </c>
      <c r="V26" t="s">
        <v>51</v>
      </c>
      <c r="W26" t="s">
        <v>52</v>
      </c>
      <c r="X26" t="s">
        <v>90</v>
      </c>
      <c r="Y26" t="s">
        <v>48</v>
      </c>
      <c r="Z26" t="s">
        <v>125</v>
      </c>
      <c r="AA26" t="s">
        <v>122</v>
      </c>
      <c r="AB26" t="s">
        <v>12</v>
      </c>
      <c r="AC26" t="s">
        <v>56</v>
      </c>
    </row>
    <row r="27" spans="1:29" x14ac:dyDescent="0.3">
      <c r="A27">
        <v>26</v>
      </c>
      <c r="B27" t="s">
        <v>44</v>
      </c>
      <c r="C27" t="s">
        <v>75</v>
      </c>
      <c r="D27" t="s">
        <v>123</v>
      </c>
      <c r="E27" t="s">
        <v>47</v>
      </c>
      <c r="F27">
        <v>1</v>
      </c>
      <c r="G27">
        <v>1967</v>
      </c>
      <c r="H27">
        <v>0.5</v>
      </c>
      <c r="I27">
        <v>0.05</v>
      </c>
      <c r="J27">
        <v>936.67</v>
      </c>
      <c r="K27">
        <v>60.904761904761884</v>
      </c>
      <c r="L27">
        <v>983.50349999999992</v>
      </c>
      <c r="M27">
        <v>1279</v>
      </c>
      <c r="N27">
        <v>1279</v>
      </c>
      <c r="O27" t="s">
        <v>48</v>
      </c>
      <c r="P27">
        <v>1218.0952380952376</v>
      </c>
      <c r="Q27" t="s">
        <v>48</v>
      </c>
      <c r="R27">
        <v>1278.9999999999995</v>
      </c>
      <c r="S27" t="s">
        <v>124</v>
      </c>
      <c r="T27" t="s">
        <v>88</v>
      </c>
      <c r="U27" t="s">
        <v>89</v>
      </c>
      <c r="V27" t="s">
        <v>51</v>
      </c>
      <c r="W27" t="s">
        <v>52</v>
      </c>
      <c r="X27" t="s">
        <v>90</v>
      </c>
      <c r="Y27" t="s">
        <v>48</v>
      </c>
      <c r="Z27" t="s">
        <v>126</v>
      </c>
      <c r="AA27" t="s">
        <v>122</v>
      </c>
      <c r="AB27" t="s">
        <v>12</v>
      </c>
      <c r="AC27" t="s">
        <v>56</v>
      </c>
    </row>
    <row r="28" spans="1:29" x14ac:dyDescent="0.3">
      <c r="A28">
        <v>27</v>
      </c>
      <c r="B28" t="s">
        <v>44</v>
      </c>
      <c r="C28" t="s">
        <v>57</v>
      </c>
      <c r="D28" t="s">
        <v>86</v>
      </c>
      <c r="E28" t="s">
        <v>47</v>
      </c>
      <c r="F28">
        <v>1</v>
      </c>
      <c r="G28">
        <v>1967</v>
      </c>
      <c r="H28">
        <v>0.5</v>
      </c>
      <c r="I28">
        <v>0.05</v>
      </c>
      <c r="J28">
        <v>936.67</v>
      </c>
      <c r="K28">
        <v>73.619047619047592</v>
      </c>
      <c r="L28">
        <v>983.50349999999992</v>
      </c>
      <c r="M28">
        <v>1546</v>
      </c>
      <c r="N28">
        <v>1546</v>
      </c>
      <c r="O28" t="s">
        <v>48</v>
      </c>
      <c r="P28">
        <v>1472.3809523809518</v>
      </c>
      <c r="Q28" t="s">
        <v>48</v>
      </c>
      <c r="R28">
        <v>1545.9999999999995</v>
      </c>
      <c r="S28" t="s">
        <v>127</v>
      </c>
      <c r="T28" t="s">
        <v>88</v>
      </c>
      <c r="U28" t="s">
        <v>89</v>
      </c>
      <c r="V28" t="s">
        <v>51</v>
      </c>
      <c r="W28" t="s">
        <v>52</v>
      </c>
      <c r="X28" t="s">
        <v>90</v>
      </c>
      <c r="Y28" t="s">
        <v>48</v>
      </c>
      <c r="Z28" t="s">
        <v>128</v>
      </c>
      <c r="AA28" t="s">
        <v>122</v>
      </c>
      <c r="AB28" t="s">
        <v>12</v>
      </c>
      <c r="AC28" t="s">
        <v>56</v>
      </c>
    </row>
    <row r="29" spans="1:29" x14ac:dyDescent="0.3">
      <c r="A29">
        <v>28</v>
      </c>
      <c r="B29" t="s">
        <v>44</v>
      </c>
      <c r="C29" t="s">
        <v>57</v>
      </c>
      <c r="D29" t="s">
        <v>117</v>
      </c>
      <c r="E29" t="s">
        <v>47</v>
      </c>
      <c r="F29">
        <v>1</v>
      </c>
      <c r="G29">
        <v>1967</v>
      </c>
      <c r="H29">
        <v>0.5</v>
      </c>
      <c r="I29">
        <v>0.05</v>
      </c>
      <c r="J29">
        <v>936.67</v>
      </c>
      <c r="K29">
        <v>60.904761904761884</v>
      </c>
      <c r="L29">
        <v>983.50349999999992</v>
      </c>
      <c r="M29">
        <v>1279</v>
      </c>
      <c r="N29">
        <v>1279</v>
      </c>
      <c r="O29" t="s">
        <v>48</v>
      </c>
      <c r="P29">
        <v>1218.0952380952376</v>
      </c>
      <c r="Q29" t="s">
        <v>48</v>
      </c>
      <c r="R29">
        <v>1278.9999999999995</v>
      </c>
      <c r="S29" t="s">
        <v>129</v>
      </c>
      <c r="T29" t="s">
        <v>88</v>
      </c>
      <c r="U29" t="s">
        <v>71</v>
      </c>
      <c r="V29" t="s">
        <v>130</v>
      </c>
      <c r="W29" t="s">
        <v>131</v>
      </c>
      <c r="X29" t="s">
        <v>132</v>
      </c>
      <c r="Y29" t="s">
        <v>48</v>
      </c>
      <c r="Z29" t="s">
        <v>133</v>
      </c>
      <c r="AA29" t="s">
        <v>122</v>
      </c>
      <c r="AB29" t="s">
        <v>12</v>
      </c>
      <c r="AC29" t="s">
        <v>56</v>
      </c>
    </row>
    <row r="30" spans="1:29" x14ac:dyDescent="0.3">
      <c r="A30">
        <v>29</v>
      </c>
      <c r="B30" t="s">
        <v>44</v>
      </c>
      <c r="C30" t="s">
        <v>75</v>
      </c>
      <c r="D30" t="s">
        <v>76</v>
      </c>
      <c r="E30" t="s">
        <v>47</v>
      </c>
      <c r="F30">
        <v>1</v>
      </c>
      <c r="G30">
        <v>1967</v>
      </c>
      <c r="H30">
        <v>0.5</v>
      </c>
      <c r="I30">
        <v>0.05</v>
      </c>
      <c r="J30">
        <v>936.67</v>
      </c>
      <c r="K30">
        <v>65.571428571428541</v>
      </c>
      <c r="L30">
        <v>983.50349999999992</v>
      </c>
      <c r="M30">
        <v>1377</v>
      </c>
      <c r="N30">
        <v>1377</v>
      </c>
      <c r="O30" t="s">
        <v>48</v>
      </c>
      <c r="P30">
        <v>1311.4285714285709</v>
      </c>
      <c r="Q30" t="s">
        <v>48</v>
      </c>
      <c r="R30">
        <v>1376.9999999999993</v>
      </c>
      <c r="S30" t="s">
        <v>77</v>
      </c>
      <c r="T30" t="s">
        <v>88</v>
      </c>
      <c r="U30" t="s">
        <v>89</v>
      </c>
      <c r="V30" t="s">
        <v>51</v>
      </c>
      <c r="W30" t="s">
        <v>52</v>
      </c>
      <c r="X30" t="s">
        <v>90</v>
      </c>
      <c r="Y30" t="s">
        <v>48</v>
      </c>
      <c r="Z30" t="s">
        <v>134</v>
      </c>
      <c r="AA30" t="s">
        <v>122</v>
      </c>
      <c r="AB30" t="s">
        <v>12</v>
      </c>
      <c r="AC30" t="s">
        <v>56</v>
      </c>
    </row>
    <row r="31" spans="1:29" x14ac:dyDescent="0.3">
      <c r="A31">
        <v>30</v>
      </c>
      <c r="B31" t="s">
        <v>68</v>
      </c>
      <c r="C31" t="s">
        <v>114</v>
      </c>
      <c r="D31" t="s">
        <v>59</v>
      </c>
      <c r="E31" t="s">
        <v>47</v>
      </c>
      <c r="F31">
        <v>1</v>
      </c>
      <c r="G31">
        <v>5000</v>
      </c>
      <c r="H31">
        <v>0.5</v>
      </c>
      <c r="I31">
        <v>0.18</v>
      </c>
      <c r="J31">
        <v>2118.65</v>
      </c>
      <c r="K31">
        <v>533.89830508474574</v>
      </c>
      <c r="L31">
        <v>2500.0070000000001</v>
      </c>
      <c r="M31">
        <v>3500</v>
      </c>
      <c r="N31">
        <v>3500</v>
      </c>
      <c r="O31" t="s">
        <v>48</v>
      </c>
      <c r="P31">
        <v>2966.101694915254</v>
      </c>
      <c r="Q31" t="s">
        <v>48</v>
      </c>
      <c r="R31">
        <v>3500</v>
      </c>
      <c r="S31" t="s">
        <v>77</v>
      </c>
      <c r="T31" t="s">
        <v>88</v>
      </c>
      <c r="U31" t="s">
        <v>89</v>
      </c>
      <c r="V31" t="s">
        <v>51</v>
      </c>
      <c r="W31" t="s">
        <v>52</v>
      </c>
      <c r="X31" t="s">
        <v>90</v>
      </c>
      <c r="Y31" t="s">
        <v>48</v>
      </c>
      <c r="Z31" t="s">
        <v>135</v>
      </c>
      <c r="AA31" t="s">
        <v>136</v>
      </c>
      <c r="AB31" t="s">
        <v>12</v>
      </c>
      <c r="AC31" t="s">
        <v>56</v>
      </c>
    </row>
    <row r="32" spans="1:29" x14ac:dyDescent="0.3">
      <c r="A32">
        <v>31</v>
      </c>
      <c r="B32" t="s">
        <v>44</v>
      </c>
      <c r="C32" t="s">
        <v>82</v>
      </c>
      <c r="D32" t="s">
        <v>117</v>
      </c>
      <c r="E32" t="s">
        <v>47</v>
      </c>
      <c r="F32">
        <v>1</v>
      </c>
      <c r="G32">
        <v>2207</v>
      </c>
      <c r="H32">
        <v>0.5</v>
      </c>
      <c r="I32">
        <v>0.05</v>
      </c>
      <c r="J32">
        <v>1050.95</v>
      </c>
      <c r="K32">
        <v>76.190476190476161</v>
      </c>
      <c r="L32">
        <v>1103.4974999999999</v>
      </c>
      <c r="M32">
        <v>1600</v>
      </c>
      <c r="N32">
        <v>1600</v>
      </c>
      <c r="O32" t="s">
        <v>48</v>
      </c>
      <c r="P32">
        <v>1523.8095238095232</v>
      </c>
      <c r="Q32" t="s">
        <v>48</v>
      </c>
      <c r="R32">
        <v>1599.9999999999993</v>
      </c>
      <c r="S32" t="s">
        <v>137</v>
      </c>
      <c r="T32" t="s">
        <v>88</v>
      </c>
      <c r="U32" t="s">
        <v>89</v>
      </c>
      <c r="V32" t="s">
        <v>51</v>
      </c>
      <c r="W32" t="s">
        <v>52</v>
      </c>
      <c r="X32" t="s">
        <v>90</v>
      </c>
      <c r="Y32" t="s">
        <v>48</v>
      </c>
      <c r="Z32" t="s">
        <v>138</v>
      </c>
      <c r="AA32" t="s">
        <v>136</v>
      </c>
      <c r="AB32" t="s">
        <v>12</v>
      </c>
      <c r="AC32" t="s">
        <v>56</v>
      </c>
    </row>
    <row r="33" spans="1:29" x14ac:dyDescent="0.3">
      <c r="A33">
        <v>32</v>
      </c>
      <c r="B33" t="s">
        <v>44</v>
      </c>
      <c r="C33" t="s">
        <v>64</v>
      </c>
      <c r="D33" t="s">
        <v>99</v>
      </c>
      <c r="E33" t="s">
        <v>47</v>
      </c>
      <c r="F33">
        <v>1</v>
      </c>
      <c r="G33">
        <v>4500</v>
      </c>
      <c r="H33">
        <v>0.5</v>
      </c>
      <c r="I33">
        <v>0.18</v>
      </c>
      <c r="J33">
        <v>1906.78</v>
      </c>
      <c r="K33">
        <v>480.50847457627111</v>
      </c>
      <c r="L33">
        <v>2250.0003999999999</v>
      </c>
      <c r="M33">
        <v>3150</v>
      </c>
      <c r="N33">
        <v>3150</v>
      </c>
      <c r="O33" t="s">
        <v>48</v>
      </c>
      <c r="P33">
        <v>2669.4915254237285</v>
      </c>
      <c r="Q33" t="s">
        <v>48</v>
      </c>
      <c r="R33">
        <v>3149.9999999999995</v>
      </c>
      <c r="S33" t="s">
        <v>139</v>
      </c>
      <c r="T33" t="s">
        <v>88</v>
      </c>
      <c r="U33" t="s">
        <v>51</v>
      </c>
      <c r="V33" t="s">
        <v>51</v>
      </c>
      <c r="W33" t="s">
        <v>52</v>
      </c>
      <c r="X33" t="s">
        <v>90</v>
      </c>
      <c r="Y33" t="s">
        <v>48</v>
      </c>
      <c r="Z33" t="s">
        <v>140</v>
      </c>
      <c r="AA33" t="s">
        <v>136</v>
      </c>
      <c r="AB33" t="s">
        <v>12</v>
      </c>
      <c r="AC33" t="s">
        <v>56</v>
      </c>
    </row>
    <row r="34" spans="1:29" x14ac:dyDescent="0.3">
      <c r="A34">
        <v>33</v>
      </c>
      <c r="B34" t="s">
        <v>68</v>
      </c>
      <c r="C34" t="s">
        <v>141</v>
      </c>
      <c r="D34" t="s">
        <v>59</v>
      </c>
      <c r="E34" t="s">
        <v>47</v>
      </c>
      <c r="F34">
        <v>1</v>
      </c>
      <c r="G34">
        <v>7011</v>
      </c>
      <c r="H34">
        <v>0.5</v>
      </c>
      <c r="I34">
        <v>0.18</v>
      </c>
      <c r="J34">
        <v>2970.77</v>
      </c>
      <c r="K34">
        <v>533.89830508474574</v>
      </c>
      <c r="L34">
        <v>3505.5086000000001</v>
      </c>
      <c r="M34">
        <v>3500</v>
      </c>
      <c r="N34">
        <v>3500</v>
      </c>
      <c r="O34" t="s">
        <v>48</v>
      </c>
      <c r="P34">
        <v>2966.101694915254</v>
      </c>
      <c r="Q34" t="s">
        <v>48</v>
      </c>
      <c r="R34">
        <v>3500</v>
      </c>
      <c r="S34" t="s">
        <v>60</v>
      </c>
      <c r="T34" t="s">
        <v>88</v>
      </c>
      <c r="U34" t="s">
        <v>51</v>
      </c>
      <c r="V34" t="s">
        <v>51</v>
      </c>
      <c r="W34" t="s">
        <v>52</v>
      </c>
      <c r="X34" t="s">
        <v>90</v>
      </c>
      <c r="Y34" t="s">
        <v>48</v>
      </c>
      <c r="Z34" t="s">
        <v>142</v>
      </c>
      <c r="AA34" t="s">
        <v>136</v>
      </c>
      <c r="AB34" t="s">
        <v>12</v>
      </c>
      <c r="AC34" t="s">
        <v>56</v>
      </c>
    </row>
    <row r="35" spans="1:29" x14ac:dyDescent="0.3">
      <c r="A35">
        <v>34</v>
      </c>
      <c r="B35" t="s">
        <v>68</v>
      </c>
      <c r="C35" t="s">
        <v>69</v>
      </c>
      <c r="D35" t="s">
        <v>65</v>
      </c>
      <c r="E35" t="s">
        <v>47</v>
      </c>
      <c r="F35">
        <v>1</v>
      </c>
      <c r="G35">
        <v>9000</v>
      </c>
      <c r="H35">
        <v>0.5</v>
      </c>
      <c r="I35">
        <v>0.18</v>
      </c>
      <c r="J35">
        <v>3813.75</v>
      </c>
      <c r="K35">
        <v>892.37288135593201</v>
      </c>
      <c r="L35">
        <v>4500.2250000000004</v>
      </c>
      <c r="M35">
        <v>5850</v>
      </c>
      <c r="N35">
        <v>5850</v>
      </c>
      <c r="O35" t="s">
        <v>48</v>
      </c>
      <c r="P35">
        <v>4957.6271186440672</v>
      </c>
      <c r="Q35" t="s">
        <v>48</v>
      </c>
      <c r="R35">
        <v>5849.9999999999991</v>
      </c>
      <c r="S35" t="s">
        <v>143</v>
      </c>
      <c r="T35" t="s">
        <v>50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144</v>
      </c>
      <c r="AA35" t="s">
        <v>136</v>
      </c>
      <c r="AB35" t="s">
        <v>12</v>
      </c>
      <c r="AC35" t="s">
        <v>56</v>
      </c>
    </row>
    <row r="36" spans="1:29" x14ac:dyDescent="0.3">
      <c r="A36">
        <v>35</v>
      </c>
      <c r="B36" t="s">
        <v>68</v>
      </c>
      <c r="C36" t="s">
        <v>114</v>
      </c>
      <c r="D36" t="s">
        <v>117</v>
      </c>
      <c r="E36" t="s">
        <v>47</v>
      </c>
      <c r="F36">
        <v>1</v>
      </c>
      <c r="G36">
        <v>5000</v>
      </c>
      <c r="H36">
        <v>0.5</v>
      </c>
      <c r="I36">
        <v>0.18</v>
      </c>
      <c r="J36">
        <v>2118.65</v>
      </c>
      <c r="K36">
        <v>533.89830508474574</v>
      </c>
      <c r="L36">
        <v>2500.0070000000001</v>
      </c>
      <c r="M36">
        <v>3500</v>
      </c>
      <c r="N36">
        <v>3500</v>
      </c>
      <c r="O36" t="s">
        <v>48</v>
      </c>
      <c r="P36">
        <v>2966.101694915254</v>
      </c>
      <c r="Q36" t="s">
        <v>48</v>
      </c>
      <c r="R36">
        <v>3500</v>
      </c>
      <c r="S36" t="s">
        <v>77</v>
      </c>
      <c r="T36" t="s">
        <v>88</v>
      </c>
      <c r="U36" t="s">
        <v>89</v>
      </c>
      <c r="V36" t="s">
        <v>51</v>
      </c>
      <c r="W36" t="s">
        <v>52</v>
      </c>
      <c r="X36" t="s">
        <v>90</v>
      </c>
      <c r="Y36" t="s">
        <v>48</v>
      </c>
      <c r="Z36" t="s">
        <v>145</v>
      </c>
      <c r="AA36" t="s">
        <v>146</v>
      </c>
      <c r="AB36" t="s">
        <v>12</v>
      </c>
      <c r="AC36" t="s">
        <v>56</v>
      </c>
    </row>
    <row r="37" spans="1:29" x14ac:dyDescent="0.3">
      <c r="A37">
        <v>36</v>
      </c>
      <c r="B37" t="s">
        <v>68</v>
      </c>
      <c r="C37" t="s">
        <v>114</v>
      </c>
      <c r="D37" t="s">
        <v>65</v>
      </c>
      <c r="E37" t="s">
        <v>47</v>
      </c>
      <c r="F37">
        <v>1</v>
      </c>
      <c r="G37">
        <v>5000</v>
      </c>
      <c r="H37">
        <v>0.5</v>
      </c>
      <c r="I37">
        <v>0.18</v>
      </c>
      <c r="J37">
        <v>2118.65</v>
      </c>
      <c r="K37">
        <v>533.89830508474574</v>
      </c>
      <c r="L37">
        <v>2500.0070000000001</v>
      </c>
      <c r="M37">
        <v>3500</v>
      </c>
      <c r="N37">
        <v>3500</v>
      </c>
      <c r="O37" t="s">
        <v>48</v>
      </c>
      <c r="P37">
        <v>2966.101694915254</v>
      </c>
      <c r="Q37" t="s">
        <v>48</v>
      </c>
      <c r="R37">
        <v>3500</v>
      </c>
      <c r="S37" t="s">
        <v>77</v>
      </c>
      <c r="T37" t="s">
        <v>88</v>
      </c>
      <c r="U37" t="s">
        <v>89</v>
      </c>
      <c r="V37" t="s">
        <v>51</v>
      </c>
      <c r="W37" t="s">
        <v>52</v>
      </c>
      <c r="X37" t="s">
        <v>90</v>
      </c>
      <c r="Y37" t="s">
        <v>48</v>
      </c>
      <c r="Z37" t="s">
        <v>147</v>
      </c>
      <c r="AA37" t="s">
        <v>146</v>
      </c>
      <c r="AB37" t="s">
        <v>12</v>
      </c>
      <c r="AC37" t="s">
        <v>56</v>
      </c>
    </row>
    <row r="38" spans="1:29" x14ac:dyDescent="0.3">
      <c r="A38">
        <v>37</v>
      </c>
      <c r="B38" t="s">
        <v>68</v>
      </c>
      <c r="C38" t="s">
        <v>69</v>
      </c>
      <c r="D38" t="s">
        <v>65</v>
      </c>
      <c r="E38" t="s">
        <v>47</v>
      </c>
      <c r="F38">
        <v>1</v>
      </c>
      <c r="G38">
        <v>9000</v>
      </c>
      <c r="H38">
        <v>0.5</v>
      </c>
      <c r="I38">
        <v>0.18</v>
      </c>
      <c r="J38">
        <v>3813.75</v>
      </c>
      <c r="K38">
        <v>892.37288135593201</v>
      </c>
      <c r="L38">
        <v>4500.2250000000004</v>
      </c>
      <c r="M38">
        <v>5850</v>
      </c>
      <c r="N38">
        <v>5850</v>
      </c>
      <c r="O38" t="s">
        <v>48</v>
      </c>
      <c r="P38">
        <v>4957.6271186440672</v>
      </c>
      <c r="Q38" t="s">
        <v>48</v>
      </c>
      <c r="R38">
        <v>5849.9999999999991</v>
      </c>
      <c r="S38" t="s">
        <v>148</v>
      </c>
      <c r="T38" t="s">
        <v>50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149</v>
      </c>
      <c r="AA38" t="s">
        <v>146</v>
      </c>
      <c r="AB38" t="s">
        <v>12</v>
      </c>
      <c r="AC38" t="s">
        <v>56</v>
      </c>
    </row>
    <row r="39" spans="1:29" x14ac:dyDescent="0.3">
      <c r="A39">
        <v>38</v>
      </c>
      <c r="B39" t="s">
        <v>44</v>
      </c>
      <c r="C39" t="s">
        <v>57</v>
      </c>
      <c r="D39" t="s">
        <v>59</v>
      </c>
      <c r="E39" t="s">
        <v>47</v>
      </c>
      <c r="F39">
        <v>1</v>
      </c>
      <c r="G39">
        <v>1967</v>
      </c>
      <c r="H39">
        <v>0.5</v>
      </c>
      <c r="I39">
        <v>0.05</v>
      </c>
      <c r="J39">
        <v>936.67</v>
      </c>
      <c r="K39">
        <v>72.571428571428541</v>
      </c>
      <c r="L39">
        <v>983.50349999999992</v>
      </c>
      <c r="M39">
        <v>1524</v>
      </c>
      <c r="N39">
        <v>1524</v>
      </c>
      <c r="O39" t="s">
        <v>48</v>
      </c>
      <c r="P39">
        <v>1451.4285714285709</v>
      </c>
      <c r="Q39" t="s">
        <v>48</v>
      </c>
      <c r="R39">
        <v>1523.9999999999993</v>
      </c>
      <c r="S39" t="s">
        <v>89</v>
      </c>
      <c r="T39" t="s">
        <v>88</v>
      </c>
      <c r="U39" t="s">
        <v>89</v>
      </c>
      <c r="V39" t="s">
        <v>51</v>
      </c>
      <c r="W39" t="s">
        <v>52</v>
      </c>
      <c r="X39" t="s">
        <v>90</v>
      </c>
      <c r="Y39" t="s">
        <v>48</v>
      </c>
      <c r="Z39" t="s">
        <v>150</v>
      </c>
      <c r="AA39" t="s">
        <v>146</v>
      </c>
      <c r="AB39" t="s">
        <v>12</v>
      </c>
      <c r="AC39" t="s">
        <v>56</v>
      </c>
    </row>
    <row r="40" spans="1:29" x14ac:dyDescent="0.3">
      <c r="A40">
        <v>39</v>
      </c>
      <c r="B40" t="s">
        <v>44</v>
      </c>
      <c r="C40" t="s">
        <v>75</v>
      </c>
      <c r="D40" t="s">
        <v>86</v>
      </c>
      <c r="E40" t="s">
        <v>47</v>
      </c>
      <c r="F40">
        <v>1</v>
      </c>
      <c r="G40">
        <v>1967</v>
      </c>
      <c r="H40">
        <v>0.5</v>
      </c>
      <c r="I40">
        <v>0.05</v>
      </c>
      <c r="J40">
        <v>936.67</v>
      </c>
      <c r="K40">
        <v>65.571428571428541</v>
      </c>
      <c r="L40">
        <v>983.50349999999992</v>
      </c>
      <c r="M40">
        <v>1377</v>
      </c>
      <c r="N40">
        <v>1377</v>
      </c>
      <c r="O40" t="s">
        <v>48</v>
      </c>
      <c r="P40">
        <v>1311.4285714285709</v>
      </c>
      <c r="Q40" t="s">
        <v>48</v>
      </c>
      <c r="R40">
        <v>1376.9999999999993</v>
      </c>
      <c r="S40" t="s">
        <v>151</v>
      </c>
      <c r="T40" t="s">
        <v>88</v>
      </c>
      <c r="U40" t="s">
        <v>51</v>
      </c>
      <c r="V40" t="s">
        <v>51</v>
      </c>
      <c r="W40" t="s">
        <v>152</v>
      </c>
      <c r="X40" t="s">
        <v>153</v>
      </c>
      <c r="Y40" t="s">
        <v>48</v>
      </c>
      <c r="Z40" t="s">
        <v>154</v>
      </c>
      <c r="AA40" t="s">
        <v>146</v>
      </c>
      <c r="AB40" t="s">
        <v>12</v>
      </c>
      <c r="AC40" t="s">
        <v>56</v>
      </c>
    </row>
    <row r="41" spans="1:29" x14ac:dyDescent="0.3">
      <c r="A41">
        <v>40</v>
      </c>
      <c r="B41" t="s">
        <v>44</v>
      </c>
      <c r="C41" t="s">
        <v>82</v>
      </c>
      <c r="D41" t="s">
        <v>59</v>
      </c>
      <c r="E41" t="s">
        <v>47</v>
      </c>
      <c r="F41">
        <v>1</v>
      </c>
      <c r="G41">
        <v>2207</v>
      </c>
      <c r="H41">
        <v>0.5</v>
      </c>
      <c r="I41">
        <v>0.05</v>
      </c>
      <c r="J41">
        <v>1050.95</v>
      </c>
      <c r="K41">
        <v>73.571428571428541</v>
      </c>
      <c r="L41">
        <v>1103.4974999999999</v>
      </c>
      <c r="M41">
        <v>1545</v>
      </c>
      <c r="N41">
        <v>1545</v>
      </c>
      <c r="O41" t="s">
        <v>48</v>
      </c>
      <c r="P41">
        <v>1471.4285714285709</v>
      </c>
      <c r="Q41" t="s">
        <v>48</v>
      </c>
      <c r="R41">
        <v>1544.9999999999993</v>
      </c>
      <c r="S41" t="s">
        <v>155</v>
      </c>
      <c r="T41" t="s">
        <v>88</v>
      </c>
      <c r="U41" t="s">
        <v>51</v>
      </c>
      <c r="V41" t="s">
        <v>51</v>
      </c>
      <c r="W41" t="s">
        <v>152</v>
      </c>
      <c r="X41" t="s">
        <v>153</v>
      </c>
      <c r="Y41" t="s">
        <v>48</v>
      </c>
      <c r="Z41" t="s">
        <v>156</v>
      </c>
      <c r="AA41" t="s">
        <v>146</v>
      </c>
      <c r="AB41" t="s">
        <v>12</v>
      </c>
      <c r="AC41" t="s">
        <v>56</v>
      </c>
    </row>
    <row r="42" spans="1:29" x14ac:dyDescent="0.3">
      <c r="A42">
        <v>41</v>
      </c>
      <c r="B42" t="s">
        <v>44</v>
      </c>
      <c r="C42" t="s">
        <v>82</v>
      </c>
      <c r="D42" t="s">
        <v>59</v>
      </c>
      <c r="E42" t="s">
        <v>47</v>
      </c>
      <c r="F42">
        <v>1</v>
      </c>
      <c r="G42">
        <v>2207</v>
      </c>
      <c r="H42">
        <v>0.5</v>
      </c>
      <c r="I42">
        <v>0.05</v>
      </c>
      <c r="J42">
        <v>1050.95</v>
      </c>
      <c r="K42">
        <v>73.571428571428541</v>
      </c>
      <c r="L42">
        <v>1103.4974999999999</v>
      </c>
      <c r="M42">
        <v>1545</v>
      </c>
      <c r="N42">
        <v>1545</v>
      </c>
      <c r="O42" t="s">
        <v>48</v>
      </c>
      <c r="P42">
        <v>1471.4285714285709</v>
      </c>
      <c r="Q42" t="s">
        <v>48</v>
      </c>
      <c r="R42">
        <v>1544.9999999999993</v>
      </c>
      <c r="S42" t="s">
        <v>157</v>
      </c>
      <c r="T42" t="s">
        <v>88</v>
      </c>
      <c r="U42" t="s">
        <v>89</v>
      </c>
      <c r="V42" t="s">
        <v>51</v>
      </c>
      <c r="W42" t="s">
        <v>152</v>
      </c>
      <c r="X42" t="s">
        <v>153</v>
      </c>
      <c r="Y42" t="s">
        <v>48</v>
      </c>
      <c r="Z42" t="s">
        <v>158</v>
      </c>
      <c r="AA42" t="s">
        <v>146</v>
      </c>
      <c r="AB42" t="s">
        <v>12</v>
      </c>
      <c r="AC42" t="s">
        <v>56</v>
      </c>
    </row>
    <row r="43" spans="1:29" x14ac:dyDescent="0.3">
      <c r="A43">
        <v>42</v>
      </c>
      <c r="B43" t="s">
        <v>44</v>
      </c>
      <c r="C43" t="s">
        <v>57</v>
      </c>
      <c r="D43" t="s">
        <v>76</v>
      </c>
      <c r="E43" t="s">
        <v>47</v>
      </c>
      <c r="F43">
        <v>1</v>
      </c>
      <c r="G43">
        <v>1967</v>
      </c>
      <c r="H43">
        <v>0.5</v>
      </c>
      <c r="I43">
        <v>0.05</v>
      </c>
      <c r="J43">
        <v>936.67</v>
      </c>
      <c r="K43">
        <v>56.190476190476176</v>
      </c>
      <c r="L43">
        <v>983.50349999999992</v>
      </c>
      <c r="M43">
        <v>1180</v>
      </c>
      <c r="N43">
        <v>1180</v>
      </c>
      <c r="O43" t="s">
        <v>48</v>
      </c>
      <c r="P43">
        <v>1123.8095238095234</v>
      </c>
      <c r="Q43" t="s">
        <v>48</v>
      </c>
      <c r="R43">
        <v>1179.9999999999995</v>
      </c>
      <c r="S43" t="s">
        <v>159</v>
      </c>
      <c r="T43" t="s">
        <v>88</v>
      </c>
      <c r="U43" t="s">
        <v>89</v>
      </c>
      <c r="V43" t="s">
        <v>51</v>
      </c>
      <c r="W43" t="s">
        <v>152</v>
      </c>
      <c r="X43" t="s">
        <v>153</v>
      </c>
      <c r="Y43" t="s">
        <v>48</v>
      </c>
      <c r="Z43" t="s">
        <v>160</v>
      </c>
      <c r="AA43" t="s">
        <v>161</v>
      </c>
      <c r="AB43" t="s">
        <v>12</v>
      </c>
      <c r="AC43" t="s">
        <v>56</v>
      </c>
    </row>
    <row r="44" spans="1:29" x14ac:dyDescent="0.3">
      <c r="A44">
        <v>43</v>
      </c>
      <c r="B44" t="s">
        <v>44</v>
      </c>
      <c r="C44" t="s">
        <v>57</v>
      </c>
      <c r="D44" t="s">
        <v>76</v>
      </c>
      <c r="E44" t="s">
        <v>47</v>
      </c>
      <c r="F44">
        <v>1</v>
      </c>
      <c r="G44">
        <v>1967</v>
      </c>
      <c r="H44">
        <v>0.5</v>
      </c>
      <c r="I44">
        <v>0.05</v>
      </c>
      <c r="J44">
        <v>936.67</v>
      </c>
      <c r="K44">
        <v>56.190476190476176</v>
      </c>
      <c r="L44">
        <v>983.50349999999992</v>
      </c>
      <c r="M44">
        <v>1180</v>
      </c>
      <c r="N44">
        <v>1180</v>
      </c>
      <c r="O44" t="s">
        <v>48</v>
      </c>
      <c r="P44">
        <v>1123.8095238095234</v>
      </c>
      <c r="Q44" t="s">
        <v>48</v>
      </c>
      <c r="R44">
        <v>1179.9999999999995</v>
      </c>
      <c r="S44" t="s">
        <v>162</v>
      </c>
      <c r="T44" t="s">
        <v>88</v>
      </c>
      <c r="U44" t="s">
        <v>89</v>
      </c>
      <c r="V44" t="s">
        <v>51</v>
      </c>
      <c r="W44" t="s">
        <v>152</v>
      </c>
      <c r="X44" t="s">
        <v>153</v>
      </c>
      <c r="Y44" t="s">
        <v>48</v>
      </c>
      <c r="Z44" t="s">
        <v>163</v>
      </c>
      <c r="AA44" t="s">
        <v>161</v>
      </c>
      <c r="AB44" t="s">
        <v>12</v>
      </c>
      <c r="AC44" t="s">
        <v>56</v>
      </c>
    </row>
    <row r="45" spans="1:29" x14ac:dyDescent="0.3">
      <c r="A45">
        <v>44</v>
      </c>
      <c r="B45" t="s">
        <v>44</v>
      </c>
      <c r="C45" t="s">
        <v>57</v>
      </c>
      <c r="D45" t="s">
        <v>46</v>
      </c>
      <c r="E45" t="s">
        <v>47</v>
      </c>
      <c r="F45">
        <v>1</v>
      </c>
      <c r="G45">
        <v>1967</v>
      </c>
      <c r="H45">
        <v>0.5</v>
      </c>
      <c r="I45">
        <v>0.05</v>
      </c>
      <c r="J45">
        <v>936.67</v>
      </c>
      <c r="K45">
        <v>56.190476190476176</v>
      </c>
      <c r="L45">
        <v>983.50349999999992</v>
      </c>
      <c r="M45">
        <v>1180</v>
      </c>
      <c r="N45">
        <v>1180</v>
      </c>
      <c r="O45" t="s">
        <v>48</v>
      </c>
      <c r="P45">
        <v>1123.8095238095234</v>
      </c>
      <c r="Q45" t="s">
        <v>48</v>
      </c>
      <c r="R45">
        <v>1179.9999999999995</v>
      </c>
      <c r="S45" t="s">
        <v>164</v>
      </c>
      <c r="T45" t="s">
        <v>88</v>
      </c>
      <c r="U45" t="s">
        <v>89</v>
      </c>
      <c r="V45" t="s">
        <v>51</v>
      </c>
      <c r="W45" t="s">
        <v>152</v>
      </c>
      <c r="X45" t="s">
        <v>153</v>
      </c>
      <c r="Y45" t="s">
        <v>48</v>
      </c>
      <c r="Z45" t="s">
        <v>165</v>
      </c>
      <c r="AA45" t="s">
        <v>161</v>
      </c>
      <c r="AB45" t="s">
        <v>12</v>
      </c>
      <c r="AC45" t="s">
        <v>56</v>
      </c>
    </row>
    <row r="46" spans="1:29" x14ac:dyDescent="0.3">
      <c r="A46">
        <v>45</v>
      </c>
      <c r="B46" t="s">
        <v>44</v>
      </c>
      <c r="C46" t="s">
        <v>111</v>
      </c>
      <c r="D46" t="s">
        <v>117</v>
      </c>
      <c r="E46" t="s">
        <v>47</v>
      </c>
      <c r="F46">
        <v>1</v>
      </c>
      <c r="G46">
        <v>4590</v>
      </c>
      <c r="H46">
        <v>0.5</v>
      </c>
      <c r="I46">
        <v>0.18</v>
      </c>
      <c r="J46">
        <v>1944.92</v>
      </c>
      <c r="K46">
        <v>420.1016949152542</v>
      </c>
      <c r="L46">
        <v>2295.0056</v>
      </c>
      <c r="M46">
        <v>2754</v>
      </c>
      <c r="N46">
        <v>2754</v>
      </c>
      <c r="O46" t="s">
        <v>48</v>
      </c>
      <c r="P46">
        <v>2333.8983050847455</v>
      </c>
      <c r="Q46" t="s">
        <v>48</v>
      </c>
      <c r="R46">
        <v>2753.9999999999995</v>
      </c>
      <c r="S46" t="s">
        <v>166</v>
      </c>
      <c r="T46" t="s">
        <v>88</v>
      </c>
      <c r="U46" t="s">
        <v>106</v>
      </c>
      <c r="V46" t="s">
        <v>166</v>
      </c>
      <c r="W46" t="s">
        <v>167</v>
      </c>
      <c r="X46" t="s">
        <v>168</v>
      </c>
      <c r="Y46" t="s">
        <v>48</v>
      </c>
      <c r="Z46" t="s">
        <v>169</v>
      </c>
      <c r="AA46" t="s">
        <v>170</v>
      </c>
      <c r="AB46" t="s">
        <v>12</v>
      </c>
      <c r="AC46" t="s">
        <v>56</v>
      </c>
    </row>
    <row r="47" spans="1:29" x14ac:dyDescent="0.3">
      <c r="A47">
        <v>46</v>
      </c>
      <c r="B47" t="s">
        <v>44</v>
      </c>
      <c r="C47" t="s">
        <v>111</v>
      </c>
      <c r="D47" t="s">
        <v>76</v>
      </c>
      <c r="E47" t="s">
        <v>47</v>
      </c>
      <c r="F47">
        <v>1</v>
      </c>
      <c r="G47">
        <v>4590</v>
      </c>
      <c r="H47">
        <v>0.5</v>
      </c>
      <c r="I47">
        <v>0.18</v>
      </c>
      <c r="J47">
        <v>1944.92</v>
      </c>
      <c r="K47">
        <v>420.1016949152542</v>
      </c>
      <c r="L47">
        <v>2295.0056</v>
      </c>
      <c r="M47">
        <v>2754</v>
      </c>
      <c r="N47">
        <v>2754</v>
      </c>
      <c r="O47" t="s">
        <v>48</v>
      </c>
      <c r="P47">
        <v>2333.8983050847455</v>
      </c>
      <c r="Q47" t="s">
        <v>48</v>
      </c>
      <c r="R47">
        <v>2753.9999999999995</v>
      </c>
      <c r="S47" t="s">
        <v>171</v>
      </c>
      <c r="T47" t="s">
        <v>88</v>
      </c>
      <c r="U47" t="s">
        <v>106</v>
      </c>
      <c r="V47" t="s">
        <v>166</v>
      </c>
      <c r="W47" t="s">
        <v>167</v>
      </c>
      <c r="X47" t="s">
        <v>168</v>
      </c>
      <c r="Y47" t="s">
        <v>48</v>
      </c>
      <c r="Z47" t="s">
        <v>172</v>
      </c>
      <c r="AA47" t="s">
        <v>170</v>
      </c>
      <c r="AB47" t="s">
        <v>12</v>
      </c>
      <c r="AC47" t="s">
        <v>56</v>
      </c>
    </row>
    <row r="48" spans="1:29" x14ac:dyDescent="0.3">
      <c r="A48">
        <v>47</v>
      </c>
      <c r="B48" t="s">
        <v>44</v>
      </c>
      <c r="C48" t="s">
        <v>111</v>
      </c>
      <c r="D48" t="s">
        <v>99</v>
      </c>
      <c r="E48" t="s">
        <v>47</v>
      </c>
      <c r="F48">
        <v>1</v>
      </c>
      <c r="G48">
        <v>4590</v>
      </c>
      <c r="H48">
        <v>0.5</v>
      </c>
      <c r="I48">
        <v>0.18</v>
      </c>
      <c r="J48">
        <v>1944.92</v>
      </c>
      <c r="K48">
        <v>420.1016949152542</v>
      </c>
      <c r="L48">
        <v>2295.0056</v>
      </c>
      <c r="M48">
        <v>2754</v>
      </c>
      <c r="N48">
        <v>2754</v>
      </c>
      <c r="O48" t="s">
        <v>48</v>
      </c>
      <c r="P48">
        <v>2333.8983050847455</v>
      </c>
      <c r="Q48" t="s">
        <v>48</v>
      </c>
      <c r="R48">
        <v>2753.9999999999995</v>
      </c>
      <c r="S48" t="s">
        <v>173</v>
      </c>
      <c r="T48" t="s">
        <v>88</v>
      </c>
      <c r="U48" t="s">
        <v>106</v>
      </c>
      <c r="V48" t="s">
        <v>166</v>
      </c>
      <c r="W48" t="s">
        <v>167</v>
      </c>
      <c r="X48" t="s">
        <v>168</v>
      </c>
      <c r="Y48" t="s">
        <v>48</v>
      </c>
      <c r="Z48" t="s">
        <v>174</v>
      </c>
      <c r="AA48" t="s">
        <v>170</v>
      </c>
      <c r="AB48" t="s">
        <v>12</v>
      </c>
      <c r="AC48" t="s">
        <v>56</v>
      </c>
    </row>
    <row r="49" spans="1:29" x14ac:dyDescent="0.3">
      <c r="A49">
        <v>48</v>
      </c>
      <c r="B49" t="s">
        <v>44</v>
      </c>
      <c r="C49" t="s">
        <v>82</v>
      </c>
      <c r="D49" t="s">
        <v>99</v>
      </c>
      <c r="E49" t="s">
        <v>47</v>
      </c>
      <c r="F49">
        <v>1</v>
      </c>
      <c r="G49">
        <v>2207</v>
      </c>
      <c r="H49">
        <v>0.5</v>
      </c>
      <c r="I49">
        <v>0.05</v>
      </c>
      <c r="J49">
        <v>1050.95</v>
      </c>
      <c r="K49">
        <v>63.095238095238074</v>
      </c>
      <c r="L49">
        <v>1103.4974999999999</v>
      </c>
      <c r="M49">
        <v>1325</v>
      </c>
      <c r="N49">
        <v>1325</v>
      </c>
      <c r="O49" t="s">
        <v>48</v>
      </c>
      <c r="P49">
        <v>1261.9047619047615</v>
      </c>
      <c r="Q49" t="s">
        <v>48</v>
      </c>
      <c r="R49">
        <v>1324.9999999999995</v>
      </c>
      <c r="S49" t="s">
        <v>173</v>
      </c>
      <c r="T49" t="s">
        <v>88</v>
      </c>
      <c r="U49" t="s">
        <v>106</v>
      </c>
      <c r="V49" t="s">
        <v>166</v>
      </c>
      <c r="W49" t="s">
        <v>167</v>
      </c>
      <c r="X49" t="s">
        <v>168</v>
      </c>
      <c r="Y49" t="s">
        <v>48</v>
      </c>
      <c r="Z49" t="s">
        <v>175</v>
      </c>
      <c r="AA49" t="s">
        <v>170</v>
      </c>
      <c r="AB49" t="s">
        <v>12</v>
      </c>
      <c r="AC49" t="s">
        <v>56</v>
      </c>
    </row>
    <row r="50" spans="1:29" x14ac:dyDescent="0.3">
      <c r="A50">
        <v>49</v>
      </c>
      <c r="B50" t="s">
        <v>44</v>
      </c>
      <c r="C50" t="s">
        <v>45</v>
      </c>
      <c r="D50" t="s">
        <v>59</v>
      </c>
      <c r="E50" t="s">
        <v>47</v>
      </c>
      <c r="F50">
        <v>1</v>
      </c>
      <c r="G50">
        <v>2207</v>
      </c>
      <c r="H50">
        <v>0.5</v>
      </c>
      <c r="I50">
        <v>0.05</v>
      </c>
      <c r="J50">
        <v>1050.95</v>
      </c>
      <c r="K50">
        <v>63.095238095238074</v>
      </c>
      <c r="L50">
        <v>1103.4974999999999</v>
      </c>
      <c r="M50">
        <v>1325</v>
      </c>
      <c r="N50">
        <v>1325</v>
      </c>
      <c r="O50" t="s">
        <v>48</v>
      </c>
      <c r="P50">
        <v>1261.9047619047615</v>
      </c>
      <c r="Q50" t="s">
        <v>48</v>
      </c>
      <c r="R50">
        <v>1324.9999999999995</v>
      </c>
      <c r="S50" t="s">
        <v>176</v>
      </c>
      <c r="T50" t="s">
        <v>88</v>
      </c>
      <c r="U50" t="s">
        <v>106</v>
      </c>
      <c r="V50" t="s">
        <v>166</v>
      </c>
      <c r="W50" t="s">
        <v>167</v>
      </c>
      <c r="X50" t="s">
        <v>168</v>
      </c>
      <c r="Y50" t="s">
        <v>48</v>
      </c>
      <c r="Z50" t="s">
        <v>177</v>
      </c>
      <c r="AA50" t="s">
        <v>178</v>
      </c>
      <c r="AB50" t="s">
        <v>12</v>
      </c>
      <c r="AC50" t="s">
        <v>56</v>
      </c>
    </row>
    <row r="51" spans="1:29" x14ac:dyDescent="0.3">
      <c r="A51">
        <v>50</v>
      </c>
      <c r="B51" t="s">
        <v>44</v>
      </c>
      <c r="C51" t="s">
        <v>57</v>
      </c>
      <c r="D51" t="s">
        <v>59</v>
      </c>
      <c r="E51" t="s">
        <v>47</v>
      </c>
      <c r="F51">
        <v>1</v>
      </c>
      <c r="G51">
        <v>1967</v>
      </c>
      <c r="H51">
        <v>0.5</v>
      </c>
      <c r="I51">
        <v>0.05</v>
      </c>
      <c r="J51">
        <v>936.67</v>
      </c>
      <c r="K51">
        <v>70.238095238095212</v>
      </c>
      <c r="L51">
        <v>983.50349999999992</v>
      </c>
      <c r="M51">
        <v>1475</v>
      </c>
      <c r="N51">
        <v>1475</v>
      </c>
      <c r="O51" t="s">
        <v>48</v>
      </c>
      <c r="P51">
        <v>1404.7619047619041</v>
      </c>
      <c r="Q51" t="s">
        <v>48</v>
      </c>
      <c r="R51">
        <v>1474.9999999999993</v>
      </c>
      <c r="S51" t="s">
        <v>179</v>
      </c>
      <c r="T51" t="s">
        <v>88</v>
      </c>
      <c r="U51" t="s">
        <v>51</v>
      </c>
      <c r="V51" t="s">
        <v>51</v>
      </c>
      <c r="W51" t="s">
        <v>152</v>
      </c>
      <c r="X51" t="s">
        <v>153</v>
      </c>
      <c r="Y51" t="s">
        <v>48</v>
      </c>
      <c r="Z51" t="s">
        <v>180</v>
      </c>
      <c r="AA51" t="s">
        <v>178</v>
      </c>
      <c r="AB51" t="s">
        <v>12</v>
      </c>
      <c r="AC51" t="s">
        <v>56</v>
      </c>
    </row>
    <row r="52" spans="1:29" x14ac:dyDescent="0.3">
      <c r="A52">
        <v>51</v>
      </c>
      <c r="B52" t="s">
        <v>44</v>
      </c>
      <c r="C52" t="s">
        <v>45</v>
      </c>
      <c r="D52" t="s">
        <v>59</v>
      </c>
      <c r="E52" t="s">
        <v>47</v>
      </c>
      <c r="F52">
        <v>1</v>
      </c>
      <c r="G52">
        <v>2207</v>
      </c>
      <c r="H52">
        <v>0.5</v>
      </c>
      <c r="I52">
        <v>0.05</v>
      </c>
      <c r="J52">
        <v>1050.95</v>
      </c>
      <c r="K52">
        <v>63.095238095238074</v>
      </c>
      <c r="L52">
        <v>1103.4974999999999</v>
      </c>
      <c r="M52">
        <v>1325</v>
      </c>
      <c r="N52">
        <v>1325</v>
      </c>
      <c r="O52" t="s">
        <v>48</v>
      </c>
      <c r="P52">
        <v>1261.9047619047615</v>
      </c>
      <c r="Q52" t="s">
        <v>48</v>
      </c>
      <c r="R52">
        <v>1324.9999999999995</v>
      </c>
      <c r="S52" t="s">
        <v>179</v>
      </c>
      <c r="T52" t="s">
        <v>88</v>
      </c>
      <c r="U52" t="s">
        <v>51</v>
      </c>
      <c r="V52" t="s">
        <v>51</v>
      </c>
      <c r="W52" t="s">
        <v>152</v>
      </c>
      <c r="X52" t="s">
        <v>153</v>
      </c>
      <c r="Y52" t="s">
        <v>48</v>
      </c>
      <c r="Z52" t="s">
        <v>181</v>
      </c>
      <c r="AA52" t="s">
        <v>178</v>
      </c>
      <c r="AB52" t="s">
        <v>12</v>
      </c>
      <c r="AC52" t="s">
        <v>56</v>
      </c>
    </row>
    <row r="53" spans="1:29" x14ac:dyDescent="0.3">
      <c r="A53">
        <v>52</v>
      </c>
      <c r="B53" t="s">
        <v>44</v>
      </c>
      <c r="C53" t="s">
        <v>75</v>
      </c>
      <c r="D53" t="s">
        <v>59</v>
      </c>
      <c r="E53" t="s">
        <v>47</v>
      </c>
      <c r="F53">
        <v>1</v>
      </c>
      <c r="G53">
        <v>1967</v>
      </c>
      <c r="H53">
        <v>0.5</v>
      </c>
      <c r="I53">
        <v>0.05</v>
      </c>
      <c r="J53">
        <v>936.67</v>
      </c>
      <c r="K53">
        <v>65.571428571428541</v>
      </c>
      <c r="L53">
        <v>983.50349999999992</v>
      </c>
      <c r="M53">
        <v>1377</v>
      </c>
      <c r="N53">
        <v>1377</v>
      </c>
      <c r="O53" t="s">
        <v>48</v>
      </c>
      <c r="P53">
        <v>1311.4285714285709</v>
      </c>
      <c r="Q53" t="s">
        <v>48</v>
      </c>
      <c r="R53">
        <v>1376.9999999999993</v>
      </c>
      <c r="S53" t="s">
        <v>151</v>
      </c>
      <c r="T53" t="s">
        <v>88</v>
      </c>
      <c r="U53" t="s">
        <v>51</v>
      </c>
      <c r="V53" t="s">
        <v>51</v>
      </c>
      <c r="W53" t="s">
        <v>152</v>
      </c>
      <c r="X53" t="s">
        <v>153</v>
      </c>
      <c r="Y53" t="s">
        <v>48</v>
      </c>
      <c r="Z53" t="s">
        <v>182</v>
      </c>
      <c r="AA53" t="s">
        <v>178</v>
      </c>
      <c r="AB53" t="s">
        <v>12</v>
      </c>
      <c r="AC53" t="s">
        <v>56</v>
      </c>
    </row>
    <row r="54" spans="1:29" x14ac:dyDescent="0.3">
      <c r="A54">
        <v>53</v>
      </c>
      <c r="B54" t="s">
        <v>44</v>
      </c>
      <c r="C54" t="s">
        <v>82</v>
      </c>
      <c r="D54" t="s">
        <v>59</v>
      </c>
      <c r="E54" t="s">
        <v>47</v>
      </c>
      <c r="F54">
        <v>1</v>
      </c>
      <c r="G54">
        <v>2207</v>
      </c>
      <c r="H54">
        <v>0.5</v>
      </c>
      <c r="I54">
        <v>0.05</v>
      </c>
      <c r="J54">
        <v>1050.95</v>
      </c>
      <c r="K54">
        <v>73.571428571428541</v>
      </c>
      <c r="L54">
        <v>1103.4974999999999</v>
      </c>
      <c r="M54">
        <v>1545</v>
      </c>
      <c r="N54">
        <v>1545</v>
      </c>
      <c r="O54" t="s">
        <v>48</v>
      </c>
      <c r="P54">
        <v>1471.4285714285709</v>
      </c>
      <c r="Q54" t="s">
        <v>48</v>
      </c>
      <c r="R54">
        <v>1544.9999999999993</v>
      </c>
      <c r="S54" t="s">
        <v>183</v>
      </c>
      <c r="T54" t="s">
        <v>88</v>
      </c>
      <c r="U54" t="s">
        <v>51</v>
      </c>
      <c r="V54" t="s">
        <v>51</v>
      </c>
      <c r="W54" t="s">
        <v>152</v>
      </c>
      <c r="X54" t="s">
        <v>153</v>
      </c>
      <c r="Y54" t="s">
        <v>48</v>
      </c>
      <c r="Z54" t="s">
        <v>184</v>
      </c>
      <c r="AA54" t="s">
        <v>178</v>
      </c>
      <c r="AB54" t="s">
        <v>12</v>
      </c>
      <c r="AC54" t="s">
        <v>56</v>
      </c>
    </row>
    <row r="55" spans="1:29" x14ac:dyDescent="0.3">
      <c r="A55">
        <v>54</v>
      </c>
      <c r="B55" t="s">
        <v>185</v>
      </c>
      <c r="C55" t="s">
        <v>186</v>
      </c>
      <c r="D55" t="s">
        <v>76</v>
      </c>
      <c r="E55" t="s">
        <v>47</v>
      </c>
      <c r="F55">
        <v>1</v>
      </c>
      <c r="G55">
        <v>3490</v>
      </c>
      <c r="H55">
        <v>0.5</v>
      </c>
      <c r="I55">
        <v>0.18</v>
      </c>
      <c r="J55">
        <v>1478.82</v>
      </c>
      <c r="K55">
        <v>319.42372881355931</v>
      </c>
      <c r="L55">
        <v>1745.0075999999999</v>
      </c>
      <c r="M55">
        <v>2094</v>
      </c>
      <c r="N55">
        <v>2094</v>
      </c>
      <c r="O55" t="s">
        <v>48</v>
      </c>
      <c r="P55">
        <v>1774.5762711864406</v>
      </c>
      <c r="Q55" t="s">
        <v>48</v>
      </c>
      <c r="R55">
        <v>2094</v>
      </c>
      <c r="S55" t="s">
        <v>187</v>
      </c>
      <c r="T55" t="s">
        <v>88</v>
      </c>
      <c r="U55" t="s">
        <v>51</v>
      </c>
      <c r="V55" t="s">
        <v>51</v>
      </c>
      <c r="W55" t="s">
        <v>152</v>
      </c>
      <c r="X55" t="s">
        <v>153</v>
      </c>
      <c r="Y55" t="s">
        <v>48</v>
      </c>
      <c r="Z55" t="s">
        <v>188</v>
      </c>
      <c r="AA55" t="s">
        <v>178</v>
      </c>
      <c r="AB55" t="s">
        <v>12</v>
      </c>
      <c r="AC55" t="s">
        <v>56</v>
      </c>
    </row>
    <row r="56" spans="1:29" x14ac:dyDescent="0.3">
      <c r="A56">
        <v>55</v>
      </c>
      <c r="B56" t="s">
        <v>44</v>
      </c>
      <c r="C56" t="s">
        <v>45</v>
      </c>
      <c r="D56" t="s">
        <v>76</v>
      </c>
      <c r="E56" t="s">
        <v>47</v>
      </c>
      <c r="F56">
        <v>1</v>
      </c>
      <c r="G56">
        <v>2207</v>
      </c>
      <c r="H56">
        <v>0.5</v>
      </c>
      <c r="I56">
        <v>0.05</v>
      </c>
      <c r="J56">
        <v>1050.95</v>
      </c>
      <c r="K56">
        <v>63.04761904761903</v>
      </c>
      <c r="L56">
        <v>1103.4974999999999</v>
      </c>
      <c r="M56">
        <v>1324</v>
      </c>
      <c r="N56">
        <v>1324</v>
      </c>
      <c r="O56" t="s">
        <v>48</v>
      </c>
      <c r="P56">
        <v>1260.9523809523805</v>
      </c>
      <c r="Q56" t="s">
        <v>48</v>
      </c>
      <c r="R56">
        <v>1323.9999999999995</v>
      </c>
      <c r="S56" t="s">
        <v>187</v>
      </c>
      <c r="T56" t="s">
        <v>88</v>
      </c>
      <c r="U56" t="s">
        <v>51</v>
      </c>
      <c r="V56" t="s">
        <v>51</v>
      </c>
      <c r="W56" t="s">
        <v>152</v>
      </c>
      <c r="X56" t="s">
        <v>153</v>
      </c>
      <c r="Y56" t="s">
        <v>48</v>
      </c>
      <c r="Z56" t="s">
        <v>189</v>
      </c>
      <c r="AA56" t="s">
        <v>178</v>
      </c>
      <c r="AB56" t="s">
        <v>12</v>
      </c>
      <c r="AC56" t="s">
        <v>56</v>
      </c>
    </row>
    <row r="57" spans="1:29" x14ac:dyDescent="0.3">
      <c r="A57">
        <v>56</v>
      </c>
      <c r="B57" t="s">
        <v>44</v>
      </c>
      <c r="C57" t="s">
        <v>186</v>
      </c>
      <c r="D57" t="s">
        <v>65</v>
      </c>
      <c r="E57" t="s">
        <v>47</v>
      </c>
      <c r="F57">
        <v>1</v>
      </c>
      <c r="G57">
        <v>3490</v>
      </c>
      <c r="H57">
        <v>0.5</v>
      </c>
      <c r="I57">
        <v>0.18</v>
      </c>
      <c r="J57">
        <v>1478.82</v>
      </c>
      <c r="K57">
        <v>319.42372881355931</v>
      </c>
      <c r="L57">
        <v>1745.0075999999999</v>
      </c>
      <c r="M57">
        <v>2094</v>
      </c>
      <c r="N57">
        <v>2094</v>
      </c>
      <c r="O57" t="s">
        <v>48</v>
      </c>
      <c r="P57">
        <v>1774.5762711864406</v>
      </c>
      <c r="Q57" t="s">
        <v>48</v>
      </c>
      <c r="R57">
        <v>2094</v>
      </c>
      <c r="S57" t="s">
        <v>187</v>
      </c>
      <c r="T57" t="s">
        <v>88</v>
      </c>
      <c r="U57" t="s">
        <v>51</v>
      </c>
      <c r="V57" t="s">
        <v>51</v>
      </c>
      <c r="W57" t="s">
        <v>152</v>
      </c>
      <c r="X57" t="s">
        <v>153</v>
      </c>
      <c r="Y57" t="s">
        <v>48</v>
      </c>
      <c r="Z57" t="s">
        <v>190</v>
      </c>
      <c r="AA57" t="s">
        <v>191</v>
      </c>
      <c r="AB57" t="s">
        <v>12</v>
      </c>
      <c r="AC57" t="s">
        <v>56</v>
      </c>
    </row>
    <row r="58" spans="1:29" x14ac:dyDescent="0.3">
      <c r="A58">
        <v>57</v>
      </c>
      <c r="B58" t="s">
        <v>44</v>
      </c>
      <c r="C58" t="s">
        <v>82</v>
      </c>
      <c r="D58" t="s">
        <v>76</v>
      </c>
      <c r="E58" t="s">
        <v>47</v>
      </c>
      <c r="F58">
        <v>1</v>
      </c>
      <c r="G58">
        <v>2207</v>
      </c>
      <c r="H58">
        <v>0.5</v>
      </c>
      <c r="I58">
        <v>0.05</v>
      </c>
      <c r="J58">
        <v>1050.95</v>
      </c>
      <c r="K58">
        <v>52.54761904761903</v>
      </c>
      <c r="L58">
        <v>1103.4974999999999</v>
      </c>
      <c r="M58">
        <v>1103.5</v>
      </c>
      <c r="N58">
        <v>1103.5</v>
      </c>
      <c r="O58" t="s">
        <v>48</v>
      </c>
      <c r="P58">
        <v>1050.9523809523805</v>
      </c>
      <c r="Q58" t="s">
        <v>48</v>
      </c>
      <c r="R58">
        <v>1103.4999999999995</v>
      </c>
      <c r="S58" t="s">
        <v>192</v>
      </c>
      <c r="T58" t="s">
        <v>50</v>
      </c>
      <c r="U58" t="s">
        <v>193</v>
      </c>
      <c r="V58" t="s">
        <v>48</v>
      </c>
      <c r="W58" t="s">
        <v>48</v>
      </c>
      <c r="X58" t="s">
        <v>48</v>
      </c>
      <c r="Y58" t="s">
        <v>48</v>
      </c>
      <c r="Z58" t="s">
        <v>194</v>
      </c>
      <c r="AA58" t="s">
        <v>191</v>
      </c>
      <c r="AB58" t="s">
        <v>12</v>
      </c>
      <c r="AC58" t="s">
        <v>56</v>
      </c>
    </row>
    <row r="59" spans="1:29" x14ac:dyDescent="0.3">
      <c r="A59">
        <v>58</v>
      </c>
      <c r="B59" t="s">
        <v>44</v>
      </c>
      <c r="C59" t="s">
        <v>45</v>
      </c>
      <c r="D59" t="s">
        <v>76</v>
      </c>
      <c r="E59" t="s">
        <v>47</v>
      </c>
      <c r="F59">
        <v>1</v>
      </c>
      <c r="G59">
        <v>2207</v>
      </c>
      <c r="H59">
        <v>0.5</v>
      </c>
      <c r="I59">
        <v>0.05</v>
      </c>
      <c r="J59">
        <v>1050.95</v>
      </c>
      <c r="K59">
        <v>52.54761904761903</v>
      </c>
      <c r="L59">
        <v>1103.4974999999999</v>
      </c>
      <c r="M59">
        <v>1103.5</v>
      </c>
      <c r="N59">
        <v>1103.5</v>
      </c>
      <c r="O59" t="s">
        <v>48</v>
      </c>
      <c r="P59">
        <v>1050.9523809523805</v>
      </c>
      <c r="Q59" t="s">
        <v>48</v>
      </c>
      <c r="R59">
        <v>1103.4999999999995</v>
      </c>
      <c r="S59" t="s">
        <v>195</v>
      </c>
      <c r="T59" t="s">
        <v>50</v>
      </c>
      <c r="U59" t="s">
        <v>193</v>
      </c>
      <c r="V59" t="s">
        <v>48</v>
      </c>
      <c r="W59" t="s">
        <v>48</v>
      </c>
      <c r="X59" t="s">
        <v>48</v>
      </c>
      <c r="Y59" t="s">
        <v>48</v>
      </c>
      <c r="Z59" t="s">
        <v>196</v>
      </c>
      <c r="AA59" t="s">
        <v>191</v>
      </c>
      <c r="AB59" t="s">
        <v>12</v>
      </c>
      <c r="AC59" t="s">
        <v>56</v>
      </c>
    </row>
    <row r="60" spans="1:29" x14ac:dyDescent="0.3">
      <c r="A60">
        <v>59</v>
      </c>
      <c r="B60" t="s">
        <v>68</v>
      </c>
      <c r="C60" t="s">
        <v>197</v>
      </c>
      <c r="D60" t="s">
        <v>59</v>
      </c>
      <c r="E60" t="s">
        <v>47</v>
      </c>
      <c r="F60">
        <v>1</v>
      </c>
      <c r="G60">
        <v>8010</v>
      </c>
      <c r="H60">
        <v>0.5</v>
      </c>
      <c r="I60">
        <v>0.18</v>
      </c>
      <c r="J60">
        <v>3394.07</v>
      </c>
      <c r="K60">
        <v>733.11864406779659</v>
      </c>
      <c r="L60">
        <v>4005.0026000000003</v>
      </c>
      <c r="M60">
        <v>4806</v>
      </c>
      <c r="N60">
        <v>4806</v>
      </c>
      <c r="O60" t="s">
        <v>48</v>
      </c>
      <c r="P60">
        <v>4072.8813559322034</v>
      </c>
      <c r="Q60" t="s">
        <v>48</v>
      </c>
      <c r="R60">
        <v>4806</v>
      </c>
      <c r="S60" t="s">
        <v>198</v>
      </c>
      <c r="T60" t="s">
        <v>88</v>
      </c>
      <c r="U60" t="s">
        <v>198</v>
      </c>
      <c r="V60" t="s">
        <v>198</v>
      </c>
      <c r="W60" t="s">
        <v>199</v>
      </c>
      <c r="X60" t="s">
        <v>200</v>
      </c>
      <c r="Y60" t="s">
        <v>48</v>
      </c>
      <c r="Z60" t="s">
        <v>201</v>
      </c>
      <c r="AA60" t="s">
        <v>191</v>
      </c>
      <c r="AB60" t="s">
        <v>12</v>
      </c>
      <c r="AC60" t="s">
        <v>56</v>
      </c>
    </row>
    <row r="61" spans="1:29" x14ac:dyDescent="0.3">
      <c r="A61">
        <v>60</v>
      </c>
      <c r="B61" t="s">
        <v>68</v>
      </c>
      <c r="C61" t="s">
        <v>202</v>
      </c>
      <c r="D61" t="s">
        <v>65</v>
      </c>
      <c r="E61" t="s">
        <v>47</v>
      </c>
      <c r="F61">
        <v>1</v>
      </c>
      <c r="G61">
        <v>8010</v>
      </c>
      <c r="H61">
        <v>0.5</v>
      </c>
      <c r="I61">
        <v>0.18</v>
      </c>
      <c r="J61">
        <v>3394.07</v>
      </c>
      <c r="K61">
        <v>733.11864406779659</v>
      </c>
      <c r="L61">
        <v>4005.0026000000003</v>
      </c>
      <c r="M61">
        <v>4806</v>
      </c>
      <c r="N61">
        <v>4806</v>
      </c>
      <c r="O61" t="s">
        <v>48</v>
      </c>
      <c r="P61">
        <v>4072.8813559322034</v>
      </c>
      <c r="Q61" t="s">
        <v>48</v>
      </c>
      <c r="R61">
        <v>4806</v>
      </c>
      <c r="S61" t="s">
        <v>198</v>
      </c>
      <c r="T61" t="s">
        <v>88</v>
      </c>
      <c r="U61" t="s">
        <v>198</v>
      </c>
      <c r="V61" t="s">
        <v>198</v>
      </c>
      <c r="W61" t="s">
        <v>199</v>
      </c>
      <c r="X61" t="s">
        <v>200</v>
      </c>
      <c r="Y61" t="s">
        <v>48</v>
      </c>
      <c r="Z61" t="s">
        <v>203</v>
      </c>
      <c r="AA61" t="s">
        <v>191</v>
      </c>
      <c r="AB61" t="s">
        <v>12</v>
      </c>
      <c r="AC61" t="s">
        <v>56</v>
      </c>
    </row>
    <row r="62" spans="1:29" x14ac:dyDescent="0.3">
      <c r="A62">
        <v>61</v>
      </c>
      <c r="B62" t="s">
        <v>68</v>
      </c>
      <c r="C62" t="s">
        <v>202</v>
      </c>
      <c r="D62" t="s">
        <v>99</v>
      </c>
      <c r="E62" t="s">
        <v>47</v>
      </c>
      <c r="F62">
        <v>1</v>
      </c>
      <c r="G62">
        <v>8010</v>
      </c>
      <c r="H62">
        <v>0.5</v>
      </c>
      <c r="I62">
        <v>0.18</v>
      </c>
      <c r="J62">
        <v>3394.07</v>
      </c>
      <c r="K62">
        <v>733.11864406779659</v>
      </c>
      <c r="L62">
        <v>4005.0026000000003</v>
      </c>
      <c r="M62">
        <v>4806</v>
      </c>
      <c r="N62">
        <v>4806</v>
      </c>
      <c r="O62" t="s">
        <v>48</v>
      </c>
      <c r="P62">
        <v>4072.8813559322034</v>
      </c>
      <c r="Q62" t="s">
        <v>48</v>
      </c>
      <c r="R62">
        <v>4806</v>
      </c>
      <c r="S62" t="s">
        <v>198</v>
      </c>
      <c r="T62" t="s">
        <v>88</v>
      </c>
      <c r="U62" t="s">
        <v>198</v>
      </c>
      <c r="V62" t="s">
        <v>198</v>
      </c>
      <c r="W62" t="s">
        <v>199</v>
      </c>
      <c r="X62" t="s">
        <v>200</v>
      </c>
      <c r="Y62" t="s">
        <v>48</v>
      </c>
      <c r="Z62" t="s">
        <v>204</v>
      </c>
      <c r="AA62" t="s">
        <v>191</v>
      </c>
      <c r="AB62" t="s">
        <v>12</v>
      </c>
      <c r="AC62" t="s">
        <v>56</v>
      </c>
    </row>
    <row r="63" spans="1:29" x14ac:dyDescent="0.3">
      <c r="A63">
        <v>62</v>
      </c>
      <c r="B63" t="s">
        <v>68</v>
      </c>
      <c r="C63" t="s">
        <v>205</v>
      </c>
      <c r="D63" t="s">
        <v>59</v>
      </c>
      <c r="E63" t="s">
        <v>47</v>
      </c>
      <c r="F63">
        <v>1</v>
      </c>
      <c r="G63">
        <v>8010</v>
      </c>
      <c r="H63">
        <v>0.5</v>
      </c>
      <c r="I63">
        <v>0.18</v>
      </c>
      <c r="J63">
        <v>3394.07</v>
      </c>
      <c r="K63">
        <v>733.11864406779659</v>
      </c>
      <c r="L63">
        <v>4005.0026000000003</v>
      </c>
      <c r="M63">
        <v>4806</v>
      </c>
      <c r="N63">
        <v>4806</v>
      </c>
      <c r="O63" t="s">
        <v>48</v>
      </c>
      <c r="P63">
        <v>4072.8813559322034</v>
      </c>
      <c r="Q63" t="s">
        <v>48</v>
      </c>
      <c r="R63">
        <v>4806</v>
      </c>
      <c r="S63" t="s">
        <v>198</v>
      </c>
      <c r="T63" t="s">
        <v>50</v>
      </c>
      <c r="U63" t="s">
        <v>198</v>
      </c>
      <c r="V63" t="s">
        <v>198</v>
      </c>
      <c r="W63" t="s">
        <v>199</v>
      </c>
      <c r="X63" t="s">
        <v>200</v>
      </c>
      <c r="Y63" t="s">
        <v>48</v>
      </c>
      <c r="Z63" t="s">
        <v>206</v>
      </c>
      <c r="AA63" t="s">
        <v>191</v>
      </c>
      <c r="AB63" t="s">
        <v>12</v>
      </c>
      <c r="AC63" t="s">
        <v>56</v>
      </c>
    </row>
    <row r="64" spans="1:29" x14ac:dyDescent="0.3">
      <c r="A64">
        <v>63</v>
      </c>
      <c r="B64" t="s">
        <v>44</v>
      </c>
      <c r="C64" t="s">
        <v>111</v>
      </c>
      <c r="D64" t="s">
        <v>65</v>
      </c>
      <c r="E64" t="s">
        <v>47</v>
      </c>
      <c r="F64">
        <v>1</v>
      </c>
      <c r="G64">
        <v>4590</v>
      </c>
      <c r="H64">
        <v>0.5</v>
      </c>
      <c r="I64">
        <v>0.18</v>
      </c>
      <c r="J64">
        <v>1944.92</v>
      </c>
      <c r="K64">
        <v>420.1016949152542</v>
      </c>
      <c r="L64">
        <v>2295.0056</v>
      </c>
      <c r="M64">
        <v>2754</v>
      </c>
      <c r="N64">
        <v>2754</v>
      </c>
      <c r="O64" t="s">
        <v>48</v>
      </c>
      <c r="P64">
        <v>2333.8983050847455</v>
      </c>
      <c r="Q64" t="s">
        <v>48</v>
      </c>
      <c r="R64">
        <v>2753.9999999999995</v>
      </c>
      <c r="S64" t="s">
        <v>198</v>
      </c>
      <c r="T64" t="s">
        <v>50</v>
      </c>
      <c r="U64" t="s">
        <v>198</v>
      </c>
      <c r="V64" t="s">
        <v>198</v>
      </c>
      <c r="W64" t="s">
        <v>199</v>
      </c>
      <c r="X64" t="s">
        <v>200</v>
      </c>
      <c r="Y64" t="s">
        <v>48</v>
      </c>
      <c r="Z64" t="s">
        <v>207</v>
      </c>
      <c r="AA64" t="s">
        <v>191</v>
      </c>
      <c r="AB64" t="s">
        <v>12</v>
      </c>
      <c r="AC64" t="s">
        <v>56</v>
      </c>
    </row>
    <row r="65" spans="1:29" x14ac:dyDescent="0.3">
      <c r="A65">
        <v>64</v>
      </c>
      <c r="B65" t="s">
        <v>44</v>
      </c>
      <c r="C65" t="s">
        <v>64</v>
      </c>
      <c r="D65" t="s">
        <v>59</v>
      </c>
      <c r="E65" t="s">
        <v>47</v>
      </c>
      <c r="F65">
        <v>1</v>
      </c>
      <c r="G65">
        <v>4500</v>
      </c>
      <c r="H65">
        <v>0.5</v>
      </c>
      <c r="I65">
        <v>0.18</v>
      </c>
      <c r="J65">
        <v>1906.78</v>
      </c>
      <c r="K65">
        <v>411.86440677966095</v>
      </c>
      <c r="L65">
        <v>2250.0003999999999</v>
      </c>
      <c r="M65">
        <v>2700</v>
      </c>
      <c r="N65">
        <v>2700</v>
      </c>
      <c r="O65" t="s">
        <v>48</v>
      </c>
      <c r="P65">
        <v>2288.1355932203387</v>
      </c>
      <c r="Q65" t="s">
        <v>48</v>
      </c>
      <c r="R65">
        <v>2699.9999999999995</v>
      </c>
      <c r="S65" t="s">
        <v>208</v>
      </c>
      <c r="T65" t="s">
        <v>88</v>
      </c>
      <c r="U65" t="s">
        <v>51</v>
      </c>
      <c r="V65" t="s">
        <v>51</v>
      </c>
      <c r="W65" t="s">
        <v>152</v>
      </c>
      <c r="X65" t="s">
        <v>153</v>
      </c>
      <c r="Y65" t="s">
        <v>48</v>
      </c>
      <c r="Z65" t="s">
        <v>209</v>
      </c>
      <c r="AA65" t="s">
        <v>210</v>
      </c>
      <c r="AB65" t="s">
        <v>12</v>
      </c>
      <c r="AC65" t="s">
        <v>56</v>
      </c>
    </row>
    <row r="66" spans="1:29" x14ac:dyDescent="0.3">
      <c r="A66">
        <v>65</v>
      </c>
      <c r="B66" t="s">
        <v>44</v>
      </c>
      <c r="C66" t="s">
        <v>64</v>
      </c>
      <c r="D66" t="s">
        <v>123</v>
      </c>
      <c r="E66" t="s">
        <v>47</v>
      </c>
      <c r="F66">
        <v>1</v>
      </c>
      <c r="G66">
        <v>4500</v>
      </c>
      <c r="H66">
        <v>0.5</v>
      </c>
      <c r="I66">
        <v>0.18</v>
      </c>
      <c r="J66">
        <v>1906.78</v>
      </c>
      <c r="K66">
        <v>411.86440677966095</v>
      </c>
      <c r="L66">
        <v>2250.0003999999999</v>
      </c>
      <c r="M66">
        <v>2700</v>
      </c>
      <c r="N66">
        <v>2700</v>
      </c>
      <c r="O66" t="s">
        <v>48</v>
      </c>
      <c r="P66">
        <v>2288.1355932203387</v>
      </c>
      <c r="Q66" t="s">
        <v>48</v>
      </c>
      <c r="R66">
        <v>2699.9999999999995</v>
      </c>
      <c r="S66" t="s">
        <v>211</v>
      </c>
      <c r="T66" t="s">
        <v>88</v>
      </c>
      <c r="U66" t="s">
        <v>51</v>
      </c>
      <c r="V66" t="s">
        <v>51</v>
      </c>
      <c r="W66" t="s">
        <v>152</v>
      </c>
      <c r="X66" t="s">
        <v>153</v>
      </c>
      <c r="Y66" t="s">
        <v>48</v>
      </c>
      <c r="Z66" t="s">
        <v>212</v>
      </c>
      <c r="AA66" t="s">
        <v>210</v>
      </c>
      <c r="AB66" t="s">
        <v>12</v>
      </c>
      <c r="AC66" t="s">
        <v>56</v>
      </c>
    </row>
    <row r="67" spans="1:29" x14ac:dyDescent="0.3">
      <c r="A67">
        <v>66</v>
      </c>
      <c r="B67" t="s">
        <v>68</v>
      </c>
      <c r="C67" t="s">
        <v>69</v>
      </c>
      <c r="D67" t="s">
        <v>59</v>
      </c>
      <c r="E67" t="s">
        <v>47</v>
      </c>
      <c r="F67">
        <v>1</v>
      </c>
      <c r="G67">
        <v>9000</v>
      </c>
      <c r="H67">
        <v>0.5</v>
      </c>
      <c r="I67">
        <v>0.18</v>
      </c>
      <c r="J67">
        <v>3813.75</v>
      </c>
      <c r="K67">
        <v>823.72881355932191</v>
      </c>
      <c r="L67">
        <v>4500.2250000000004</v>
      </c>
      <c r="M67">
        <v>5400</v>
      </c>
      <c r="N67">
        <v>5400</v>
      </c>
      <c r="O67" t="s">
        <v>48</v>
      </c>
      <c r="P67">
        <v>4576.2711864406774</v>
      </c>
      <c r="Q67" t="s">
        <v>48</v>
      </c>
      <c r="R67">
        <v>5399.9999999999991</v>
      </c>
      <c r="S67" t="s">
        <v>211</v>
      </c>
      <c r="T67" t="s">
        <v>88</v>
      </c>
      <c r="U67" t="s">
        <v>51</v>
      </c>
      <c r="V67" t="s">
        <v>51</v>
      </c>
      <c r="W67" t="s">
        <v>152</v>
      </c>
      <c r="X67" t="s">
        <v>153</v>
      </c>
      <c r="Y67" t="s">
        <v>48</v>
      </c>
      <c r="Z67" t="s">
        <v>213</v>
      </c>
      <c r="AA67" t="s">
        <v>210</v>
      </c>
      <c r="AB67" t="s">
        <v>12</v>
      </c>
      <c r="AC67" t="s">
        <v>56</v>
      </c>
    </row>
    <row r="68" spans="1:29" x14ac:dyDescent="0.3">
      <c r="A68">
        <v>67</v>
      </c>
      <c r="B68" t="s">
        <v>44</v>
      </c>
      <c r="C68" t="s">
        <v>57</v>
      </c>
      <c r="D68" t="s">
        <v>59</v>
      </c>
      <c r="E68" t="s">
        <v>47</v>
      </c>
      <c r="F68">
        <v>1</v>
      </c>
      <c r="G68">
        <v>1967</v>
      </c>
      <c r="H68">
        <v>0.5</v>
      </c>
      <c r="I68">
        <v>0.05</v>
      </c>
      <c r="J68">
        <v>936.67</v>
      </c>
      <c r="K68">
        <v>56.47619047619046</v>
      </c>
      <c r="L68">
        <v>983.50349999999992</v>
      </c>
      <c r="M68">
        <v>1186</v>
      </c>
      <c r="N68">
        <v>1186</v>
      </c>
      <c r="O68" t="s">
        <v>48</v>
      </c>
      <c r="P68">
        <v>1129.5238095238092</v>
      </c>
      <c r="Q68" t="s">
        <v>48</v>
      </c>
      <c r="R68">
        <v>1185.9999999999995</v>
      </c>
      <c r="S68" t="s">
        <v>214</v>
      </c>
      <c r="T68" t="s">
        <v>88</v>
      </c>
      <c r="U68" t="s">
        <v>51</v>
      </c>
      <c r="V68" t="s">
        <v>51</v>
      </c>
      <c r="W68" t="s">
        <v>152</v>
      </c>
      <c r="X68" t="s">
        <v>153</v>
      </c>
      <c r="Y68" t="s">
        <v>48</v>
      </c>
      <c r="Z68" t="s">
        <v>215</v>
      </c>
      <c r="AA68" t="s">
        <v>210</v>
      </c>
      <c r="AB68" t="s">
        <v>12</v>
      </c>
      <c r="AC68" t="s">
        <v>56</v>
      </c>
    </row>
    <row r="69" spans="1:29" x14ac:dyDescent="0.3">
      <c r="A69">
        <v>68</v>
      </c>
      <c r="B69" t="s">
        <v>44</v>
      </c>
      <c r="C69" t="s">
        <v>57</v>
      </c>
      <c r="D69" t="s">
        <v>59</v>
      </c>
      <c r="E69" t="s">
        <v>83</v>
      </c>
      <c r="F69">
        <v>1</v>
      </c>
      <c r="G69">
        <v>1967</v>
      </c>
      <c r="H69">
        <v>0.52</v>
      </c>
      <c r="I69">
        <v>0.05</v>
      </c>
      <c r="J69">
        <v>899.2</v>
      </c>
      <c r="K69">
        <v>56.47619047619046</v>
      </c>
      <c r="L69">
        <v>944.16000000000008</v>
      </c>
      <c r="M69">
        <v>1186</v>
      </c>
      <c r="N69">
        <v>1186</v>
      </c>
      <c r="O69" t="s">
        <v>48</v>
      </c>
      <c r="P69">
        <v>1129.5238095238092</v>
      </c>
      <c r="Q69" t="s">
        <v>48</v>
      </c>
      <c r="R69">
        <v>1185.9999999999995</v>
      </c>
      <c r="S69" t="s">
        <v>214</v>
      </c>
      <c r="T69" t="s">
        <v>88</v>
      </c>
      <c r="U69" t="s">
        <v>51</v>
      </c>
      <c r="V69" t="s">
        <v>51</v>
      </c>
      <c r="W69" t="s">
        <v>152</v>
      </c>
      <c r="X69" t="s">
        <v>153</v>
      </c>
      <c r="Y69" t="s">
        <v>48</v>
      </c>
      <c r="Z69" t="s">
        <v>216</v>
      </c>
      <c r="AA69" t="s">
        <v>210</v>
      </c>
      <c r="AB69" t="s">
        <v>12</v>
      </c>
      <c r="AC69" t="s">
        <v>56</v>
      </c>
    </row>
    <row r="70" spans="1:29" x14ac:dyDescent="0.3">
      <c r="A70">
        <v>69</v>
      </c>
      <c r="B70" t="s">
        <v>68</v>
      </c>
      <c r="C70" t="s">
        <v>114</v>
      </c>
      <c r="D70" t="s">
        <v>86</v>
      </c>
      <c r="E70" t="s">
        <v>47</v>
      </c>
      <c r="F70">
        <v>1</v>
      </c>
      <c r="G70">
        <v>5000</v>
      </c>
      <c r="H70">
        <v>0.5</v>
      </c>
      <c r="I70">
        <v>0.18</v>
      </c>
      <c r="J70">
        <v>2118.65</v>
      </c>
      <c r="K70">
        <v>457.62711864406771</v>
      </c>
      <c r="L70">
        <v>2500.0070000000001</v>
      </c>
      <c r="M70">
        <v>3000</v>
      </c>
      <c r="N70">
        <v>3000</v>
      </c>
      <c r="O70" t="s">
        <v>48</v>
      </c>
      <c r="P70">
        <v>2542.3728813559319</v>
      </c>
      <c r="Q70" t="s">
        <v>48</v>
      </c>
      <c r="R70">
        <v>2999.9999999999995</v>
      </c>
      <c r="S70" t="s">
        <v>214</v>
      </c>
      <c r="T70" t="s">
        <v>88</v>
      </c>
      <c r="U70" t="s">
        <v>51</v>
      </c>
      <c r="V70" t="s">
        <v>51</v>
      </c>
      <c r="W70" t="s">
        <v>152</v>
      </c>
      <c r="X70" t="s">
        <v>153</v>
      </c>
      <c r="Y70" t="s">
        <v>48</v>
      </c>
      <c r="Z70" t="s">
        <v>217</v>
      </c>
      <c r="AA70" t="s">
        <v>210</v>
      </c>
      <c r="AB70" t="s">
        <v>12</v>
      </c>
      <c r="AC70" t="s">
        <v>56</v>
      </c>
    </row>
    <row r="71" spans="1:29" x14ac:dyDescent="0.3">
      <c r="A71">
        <v>70</v>
      </c>
      <c r="B71" t="s">
        <v>44</v>
      </c>
      <c r="C71" t="s">
        <v>75</v>
      </c>
      <c r="D71" t="s">
        <v>59</v>
      </c>
      <c r="E71" t="s">
        <v>47</v>
      </c>
      <c r="F71">
        <v>1</v>
      </c>
      <c r="G71">
        <v>1967</v>
      </c>
      <c r="H71">
        <v>0.5</v>
      </c>
      <c r="I71">
        <v>0.05</v>
      </c>
      <c r="J71">
        <v>936.67</v>
      </c>
      <c r="K71">
        <v>46.85714285714284</v>
      </c>
      <c r="L71">
        <v>983.50349999999992</v>
      </c>
      <c r="M71">
        <v>984</v>
      </c>
      <c r="N71">
        <v>984</v>
      </c>
      <c r="O71" t="s">
        <v>48</v>
      </c>
      <c r="P71">
        <v>937.14285714285677</v>
      </c>
      <c r="Q71" t="s">
        <v>48</v>
      </c>
      <c r="R71">
        <v>983.99999999999966</v>
      </c>
      <c r="S71" t="s">
        <v>49</v>
      </c>
      <c r="T71" t="s">
        <v>50</v>
      </c>
      <c r="U71" t="s">
        <v>218</v>
      </c>
      <c r="V71" t="s">
        <v>219</v>
      </c>
      <c r="W71" t="s">
        <v>220</v>
      </c>
      <c r="X71" t="s">
        <v>48</v>
      </c>
      <c r="Y71" t="s">
        <v>48</v>
      </c>
      <c r="Z71" t="s">
        <v>221</v>
      </c>
      <c r="AA71" t="s">
        <v>210</v>
      </c>
      <c r="AB71" t="s">
        <v>12</v>
      </c>
      <c r="AC71" t="s">
        <v>56</v>
      </c>
    </row>
    <row r="72" spans="1:29" x14ac:dyDescent="0.3">
      <c r="A72">
        <v>71</v>
      </c>
      <c r="B72" t="s">
        <v>44</v>
      </c>
      <c r="C72" t="s">
        <v>45</v>
      </c>
      <c r="D72" t="s">
        <v>59</v>
      </c>
      <c r="E72" t="s">
        <v>47</v>
      </c>
      <c r="F72">
        <v>1</v>
      </c>
      <c r="G72">
        <v>2207</v>
      </c>
      <c r="H72">
        <v>0.5</v>
      </c>
      <c r="I72">
        <v>0.05</v>
      </c>
      <c r="J72">
        <v>1050.95</v>
      </c>
      <c r="K72">
        <v>73.571428571428541</v>
      </c>
      <c r="L72">
        <v>1103.4974999999999</v>
      </c>
      <c r="M72">
        <v>1545</v>
      </c>
      <c r="N72">
        <v>1545</v>
      </c>
      <c r="O72" t="s">
        <v>48</v>
      </c>
      <c r="P72">
        <v>1471.4285714285709</v>
      </c>
      <c r="Q72" t="s">
        <v>48</v>
      </c>
      <c r="R72">
        <v>1544.9999999999993</v>
      </c>
      <c r="S72" t="s">
        <v>222</v>
      </c>
      <c r="T72" t="s">
        <v>88</v>
      </c>
      <c r="U72" t="s">
        <v>51</v>
      </c>
      <c r="V72" t="s">
        <v>51</v>
      </c>
      <c r="W72" t="s">
        <v>152</v>
      </c>
      <c r="X72" t="s">
        <v>153</v>
      </c>
      <c r="Y72" t="s">
        <v>48</v>
      </c>
      <c r="Z72" t="s">
        <v>223</v>
      </c>
      <c r="AA72" t="s">
        <v>210</v>
      </c>
      <c r="AB72" t="s">
        <v>12</v>
      </c>
      <c r="AC72" t="s">
        <v>56</v>
      </c>
    </row>
    <row r="73" spans="1:29" x14ac:dyDescent="0.3">
      <c r="A73">
        <v>72</v>
      </c>
      <c r="B73" t="s">
        <v>68</v>
      </c>
      <c r="C73" t="s">
        <v>141</v>
      </c>
      <c r="D73" t="s">
        <v>65</v>
      </c>
      <c r="E73" t="s">
        <v>47</v>
      </c>
      <c r="F73">
        <v>1</v>
      </c>
      <c r="G73">
        <v>7011</v>
      </c>
      <c r="H73">
        <v>0.5</v>
      </c>
      <c r="I73">
        <v>0.18</v>
      </c>
      <c r="J73">
        <v>2970.77</v>
      </c>
      <c r="K73">
        <v>961.01694915254222</v>
      </c>
      <c r="L73">
        <v>3505.5086000000001</v>
      </c>
      <c r="M73">
        <v>6300</v>
      </c>
      <c r="N73">
        <v>6300</v>
      </c>
      <c r="O73" t="s">
        <v>48</v>
      </c>
      <c r="P73">
        <v>5338.983050847457</v>
      </c>
      <c r="Q73" t="s">
        <v>48</v>
      </c>
      <c r="R73">
        <v>6299.9999999999991</v>
      </c>
      <c r="S73" t="s">
        <v>127</v>
      </c>
      <c r="T73" t="s">
        <v>88</v>
      </c>
      <c r="U73" t="s">
        <v>51</v>
      </c>
      <c r="V73" t="s">
        <v>51</v>
      </c>
      <c r="W73" t="s">
        <v>152</v>
      </c>
      <c r="X73" t="s">
        <v>153</v>
      </c>
      <c r="Y73" t="s">
        <v>48</v>
      </c>
      <c r="Z73" t="s">
        <v>224</v>
      </c>
      <c r="AA73" t="s">
        <v>210</v>
      </c>
      <c r="AB73" t="s">
        <v>12</v>
      </c>
      <c r="AC73" t="s">
        <v>56</v>
      </c>
    </row>
    <row r="74" spans="1:29" x14ac:dyDescent="0.3">
      <c r="A74">
        <v>73</v>
      </c>
      <c r="B74" t="s">
        <v>44</v>
      </c>
      <c r="C74" t="s">
        <v>82</v>
      </c>
      <c r="D74" t="s">
        <v>59</v>
      </c>
      <c r="E74" t="s">
        <v>47</v>
      </c>
      <c r="F74">
        <v>1</v>
      </c>
      <c r="G74">
        <v>2207</v>
      </c>
      <c r="H74">
        <v>0.5</v>
      </c>
      <c r="I74">
        <v>0.05</v>
      </c>
      <c r="J74">
        <v>1050.95</v>
      </c>
      <c r="K74">
        <v>71.428571428571402</v>
      </c>
      <c r="L74">
        <v>1103.4974999999999</v>
      </c>
      <c r="M74">
        <v>1500</v>
      </c>
      <c r="N74">
        <v>1500</v>
      </c>
      <c r="O74" t="s">
        <v>48</v>
      </c>
      <c r="P74">
        <v>1428.571428571428</v>
      </c>
      <c r="Q74" t="s">
        <v>48</v>
      </c>
      <c r="R74">
        <v>1499.9999999999993</v>
      </c>
      <c r="S74" t="s">
        <v>225</v>
      </c>
      <c r="T74" t="s">
        <v>88</v>
      </c>
      <c r="U74" t="s">
        <v>218</v>
      </c>
      <c r="V74" t="s">
        <v>219</v>
      </c>
      <c r="W74" t="s">
        <v>220</v>
      </c>
      <c r="X74" t="s">
        <v>48</v>
      </c>
      <c r="Y74" t="s">
        <v>48</v>
      </c>
      <c r="Z74" t="s">
        <v>226</v>
      </c>
      <c r="AA74" t="s">
        <v>210</v>
      </c>
      <c r="AB74" t="s">
        <v>12</v>
      </c>
      <c r="AC74" t="s">
        <v>56</v>
      </c>
    </row>
    <row r="75" spans="1:29" x14ac:dyDescent="0.3">
      <c r="A75">
        <v>74</v>
      </c>
      <c r="B75" t="s">
        <v>68</v>
      </c>
      <c r="C75" t="s">
        <v>205</v>
      </c>
      <c r="D75" t="s">
        <v>76</v>
      </c>
      <c r="E75" t="s">
        <v>47</v>
      </c>
      <c r="F75">
        <v>1</v>
      </c>
      <c r="G75">
        <v>8010</v>
      </c>
      <c r="H75">
        <v>0.5</v>
      </c>
      <c r="I75">
        <v>0.18</v>
      </c>
      <c r="J75">
        <v>3394.07</v>
      </c>
      <c r="K75">
        <v>733.11864406779659</v>
      </c>
      <c r="L75">
        <v>4005.0026000000003</v>
      </c>
      <c r="M75">
        <v>4806</v>
      </c>
      <c r="N75">
        <v>4806</v>
      </c>
      <c r="O75" t="s">
        <v>48</v>
      </c>
      <c r="P75">
        <v>4072.8813559322034</v>
      </c>
      <c r="Q75" t="s">
        <v>48</v>
      </c>
      <c r="R75">
        <v>4806</v>
      </c>
      <c r="S75" t="s">
        <v>198</v>
      </c>
      <c r="T75" t="s">
        <v>50</v>
      </c>
      <c r="U75" t="s">
        <v>198</v>
      </c>
      <c r="V75" t="s">
        <v>198</v>
      </c>
      <c r="W75" t="s">
        <v>199</v>
      </c>
      <c r="X75" t="s">
        <v>200</v>
      </c>
      <c r="Y75" t="s">
        <v>48</v>
      </c>
      <c r="Z75" t="s">
        <v>227</v>
      </c>
      <c r="AA75" t="s">
        <v>210</v>
      </c>
      <c r="AB75" t="s">
        <v>12</v>
      </c>
      <c r="AC75" t="s">
        <v>56</v>
      </c>
    </row>
    <row r="76" spans="1:29" x14ac:dyDescent="0.3">
      <c r="A76">
        <v>75</v>
      </c>
      <c r="B76" t="s">
        <v>44</v>
      </c>
      <c r="C76" t="s">
        <v>75</v>
      </c>
      <c r="D76" t="s">
        <v>117</v>
      </c>
      <c r="E76" t="s">
        <v>47</v>
      </c>
      <c r="F76">
        <v>1</v>
      </c>
      <c r="G76">
        <v>1967</v>
      </c>
      <c r="H76">
        <v>0.5</v>
      </c>
      <c r="I76">
        <v>0.05</v>
      </c>
      <c r="J76">
        <v>936.67</v>
      </c>
      <c r="K76">
        <v>56.199999999999982</v>
      </c>
      <c r="L76">
        <v>983.50349999999992</v>
      </c>
      <c r="M76">
        <v>1180.2</v>
      </c>
      <c r="N76">
        <v>1180.2</v>
      </c>
      <c r="O76" t="s">
        <v>48</v>
      </c>
      <c r="P76">
        <v>1123.9999999999995</v>
      </c>
      <c r="Q76" t="s">
        <v>48</v>
      </c>
      <c r="R76">
        <v>1180.1999999999996</v>
      </c>
      <c r="S76" t="s">
        <v>228</v>
      </c>
      <c r="T76" t="s">
        <v>50</v>
      </c>
      <c r="U76" t="s">
        <v>228</v>
      </c>
      <c r="V76" t="s">
        <v>228</v>
      </c>
      <c r="W76" t="s">
        <v>229</v>
      </c>
      <c r="X76" t="s">
        <v>48</v>
      </c>
      <c r="Y76" t="s">
        <v>48</v>
      </c>
      <c r="Z76" t="s">
        <v>230</v>
      </c>
      <c r="AA76" t="s">
        <v>231</v>
      </c>
      <c r="AB76" t="s">
        <v>12</v>
      </c>
      <c r="AC76" t="s">
        <v>56</v>
      </c>
    </row>
    <row r="77" spans="1:29" x14ac:dyDescent="0.3">
      <c r="A77">
        <v>76</v>
      </c>
      <c r="B77" t="s">
        <v>232</v>
      </c>
      <c r="C77" t="s">
        <v>233</v>
      </c>
      <c r="D77" t="s">
        <v>65</v>
      </c>
      <c r="E77" t="s">
        <v>47</v>
      </c>
      <c r="F77">
        <v>1</v>
      </c>
      <c r="G77">
        <v>5200</v>
      </c>
      <c r="H77">
        <v>0.5</v>
      </c>
      <c r="I77">
        <v>0.18</v>
      </c>
      <c r="J77">
        <v>2203.39</v>
      </c>
      <c r="K77">
        <f>+P78*18%</f>
        <v>202.31999999999991</v>
      </c>
      <c r="L77">
        <v>2600.0001999999999</v>
      </c>
      <c r="M77">
        <v>3120</v>
      </c>
      <c r="N77">
        <v>0</v>
      </c>
      <c r="O77" t="s">
        <v>48</v>
      </c>
      <c r="P77">
        <f>+N78*0.847457627118644</f>
        <v>1000.1694915254237</v>
      </c>
      <c r="Q77" t="s">
        <v>48</v>
      </c>
      <c r="R77" t="e">
        <f>+P78+Q78</f>
        <v>#VALUE!</v>
      </c>
      <c r="S77" t="s">
        <v>228</v>
      </c>
      <c r="T77" t="s">
        <v>50</v>
      </c>
      <c r="U77" t="s">
        <v>228</v>
      </c>
      <c r="V77" t="s">
        <v>228</v>
      </c>
      <c r="W77" t="s">
        <v>229</v>
      </c>
      <c r="X77" t="s">
        <v>234</v>
      </c>
      <c r="Y77" t="s">
        <v>48</v>
      </c>
      <c r="Z77" t="s">
        <v>235</v>
      </c>
      <c r="AA77" t="s">
        <v>231</v>
      </c>
      <c r="AB77" t="s">
        <v>12</v>
      </c>
      <c r="AC77" t="s">
        <v>56</v>
      </c>
    </row>
    <row r="78" spans="1:29" x14ac:dyDescent="0.3">
      <c r="A78">
        <v>77</v>
      </c>
      <c r="B78" t="s">
        <v>44</v>
      </c>
      <c r="C78" t="s">
        <v>57</v>
      </c>
      <c r="D78" t="s">
        <v>65</v>
      </c>
      <c r="E78" t="s">
        <v>47</v>
      </c>
      <c r="F78">
        <v>1</v>
      </c>
      <c r="G78">
        <v>1967</v>
      </c>
      <c r="H78">
        <v>0.5</v>
      </c>
      <c r="I78">
        <v>0.05</v>
      </c>
      <c r="J78">
        <v>936.67</v>
      </c>
      <c r="K78">
        <v>56.199999999999982</v>
      </c>
      <c r="L78">
        <v>983.50349999999992</v>
      </c>
      <c r="M78">
        <v>1180.2</v>
      </c>
      <c r="N78">
        <v>1180.2</v>
      </c>
      <c r="O78" t="s">
        <v>48</v>
      </c>
      <c r="P78">
        <v>1123.9999999999995</v>
      </c>
      <c r="Q78" t="s">
        <v>48</v>
      </c>
      <c r="R78">
        <v>1180.1999999999996</v>
      </c>
      <c r="S78" t="s">
        <v>228</v>
      </c>
      <c r="T78" t="s">
        <v>50</v>
      </c>
      <c r="U78" t="s">
        <v>228</v>
      </c>
      <c r="V78" t="s">
        <v>228</v>
      </c>
      <c r="W78" t="s">
        <v>229</v>
      </c>
      <c r="X78" t="s">
        <v>48</v>
      </c>
      <c r="Y78" t="s">
        <v>48</v>
      </c>
      <c r="Z78" t="s">
        <v>236</v>
      </c>
      <c r="AA78" t="s">
        <v>231</v>
      </c>
      <c r="AB78" t="s">
        <v>12</v>
      </c>
      <c r="AC78" t="s">
        <v>56</v>
      </c>
    </row>
    <row r="79" spans="1:29" x14ac:dyDescent="0.3">
      <c r="A79">
        <v>79</v>
      </c>
      <c r="B79" t="s">
        <v>68</v>
      </c>
      <c r="C79" t="s">
        <v>69</v>
      </c>
      <c r="D79" t="s">
        <v>123</v>
      </c>
      <c r="E79" t="s">
        <v>47</v>
      </c>
      <c r="F79">
        <v>1</v>
      </c>
      <c r="G79">
        <v>9000</v>
      </c>
      <c r="H79">
        <v>0.5</v>
      </c>
      <c r="I79">
        <v>0.18</v>
      </c>
      <c r="J79">
        <v>3813.75</v>
      </c>
      <c r="K79">
        <v>823.72881355932191</v>
      </c>
      <c r="L79">
        <v>4500.2250000000004</v>
      </c>
      <c r="M79">
        <v>5400</v>
      </c>
      <c r="N79">
        <v>5400</v>
      </c>
      <c r="O79" t="s">
        <v>48</v>
      </c>
      <c r="P79">
        <v>4576.2711864406774</v>
      </c>
      <c r="Q79" t="s">
        <v>48</v>
      </c>
      <c r="R79">
        <v>5399.9999999999991</v>
      </c>
      <c r="S79" t="s">
        <v>211</v>
      </c>
      <c r="T79" t="s">
        <v>88</v>
      </c>
      <c r="U79" t="s">
        <v>51</v>
      </c>
      <c r="V79" t="s">
        <v>51</v>
      </c>
      <c r="W79" t="s">
        <v>152</v>
      </c>
      <c r="X79" t="s">
        <v>153</v>
      </c>
      <c r="Y79" t="s">
        <v>48</v>
      </c>
      <c r="Z79" t="s">
        <v>237</v>
      </c>
      <c r="AA79" t="s">
        <v>231</v>
      </c>
      <c r="AB79" t="s">
        <v>12</v>
      </c>
      <c r="AC79" t="s">
        <v>56</v>
      </c>
    </row>
    <row r="80" spans="1:29" x14ac:dyDescent="0.3">
      <c r="A80">
        <v>80</v>
      </c>
      <c r="B80" t="s">
        <v>238</v>
      </c>
      <c r="C80" t="s">
        <v>239</v>
      </c>
      <c r="D80" t="s">
        <v>99</v>
      </c>
      <c r="E80" t="s">
        <v>83</v>
      </c>
      <c r="F80">
        <v>1</v>
      </c>
      <c r="G80">
        <v>3299</v>
      </c>
      <c r="H80">
        <v>0.52</v>
      </c>
      <c r="I80">
        <v>0.05</v>
      </c>
      <c r="J80">
        <v>1423.32</v>
      </c>
      <c r="K80">
        <v>109.95238095238092</v>
      </c>
      <c r="L80">
        <v>1494.4859999999999</v>
      </c>
      <c r="M80">
        <v>2309</v>
      </c>
      <c r="N80">
        <v>2309</v>
      </c>
      <c r="O80" t="s">
        <v>48</v>
      </c>
      <c r="P80">
        <v>2199.0476190476184</v>
      </c>
      <c r="Q80" t="s">
        <v>48</v>
      </c>
      <c r="R80">
        <v>2308.9999999999991</v>
      </c>
      <c r="S80" t="s">
        <v>240</v>
      </c>
      <c r="T80" t="s">
        <v>88</v>
      </c>
      <c r="U80" t="s">
        <v>218</v>
      </c>
      <c r="V80" t="s">
        <v>219</v>
      </c>
      <c r="W80" t="s">
        <v>220</v>
      </c>
      <c r="X80" t="s">
        <v>48</v>
      </c>
      <c r="Y80" t="s">
        <v>48</v>
      </c>
      <c r="Z80" t="s">
        <v>241</v>
      </c>
      <c r="AA80" t="s">
        <v>231</v>
      </c>
      <c r="AB80" t="s">
        <v>12</v>
      </c>
      <c r="AC80" t="s">
        <v>56</v>
      </c>
    </row>
    <row r="81" spans="1:29" x14ac:dyDescent="0.3">
      <c r="A81">
        <v>81</v>
      </c>
      <c r="B81" t="s">
        <v>68</v>
      </c>
      <c r="C81" t="s">
        <v>141</v>
      </c>
      <c r="D81" t="s">
        <v>59</v>
      </c>
      <c r="E81" t="s">
        <v>47</v>
      </c>
      <c r="F81">
        <v>1</v>
      </c>
      <c r="G81">
        <v>7011</v>
      </c>
      <c r="H81">
        <v>0.5</v>
      </c>
      <c r="I81">
        <v>0.18</v>
      </c>
      <c r="J81">
        <v>2970.77</v>
      </c>
      <c r="K81">
        <v>534.81355932203383</v>
      </c>
      <c r="L81">
        <v>3505.5086000000001</v>
      </c>
      <c r="M81">
        <v>3506</v>
      </c>
      <c r="N81">
        <v>3506</v>
      </c>
      <c r="O81" t="s">
        <v>48</v>
      </c>
      <c r="P81">
        <v>2971.1864406779659</v>
      </c>
      <c r="Q81" t="s">
        <v>48</v>
      </c>
      <c r="R81">
        <v>3506</v>
      </c>
      <c r="S81" t="s">
        <v>242</v>
      </c>
      <c r="T81" t="s">
        <v>50</v>
      </c>
      <c r="U81" t="s">
        <v>242</v>
      </c>
      <c r="V81" t="s">
        <v>234</v>
      </c>
      <c r="W81" t="s">
        <v>48</v>
      </c>
      <c r="X81" t="s">
        <v>48</v>
      </c>
      <c r="Y81" t="s">
        <v>48</v>
      </c>
      <c r="Z81" t="s">
        <v>243</v>
      </c>
      <c r="AA81" t="s">
        <v>231</v>
      </c>
      <c r="AB81" t="s">
        <v>12</v>
      </c>
      <c r="AC81" t="s">
        <v>56</v>
      </c>
    </row>
    <row r="82" spans="1:29" x14ac:dyDescent="0.3">
      <c r="A82">
        <v>82</v>
      </c>
      <c r="B82" t="s">
        <v>44</v>
      </c>
      <c r="C82" t="s">
        <v>82</v>
      </c>
      <c r="D82" t="s">
        <v>59</v>
      </c>
      <c r="E82" t="s">
        <v>47</v>
      </c>
      <c r="F82">
        <v>1</v>
      </c>
      <c r="G82">
        <v>2207</v>
      </c>
      <c r="H82">
        <v>0.5</v>
      </c>
      <c r="I82">
        <v>0.05</v>
      </c>
      <c r="J82">
        <v>1050.95</v>
      </c>
      <c r="K82">
        <v>73.571428571428541</v>
      </c>
      <c r="L82">
        <v>1103.4974999999999</v>
      </c>
      <c r="M82">
        <v>1545</v>
      </c>
      <c r="N82">
        <v>1545</v>
      </c>
      <c r="O82" t="s">
        <v>48</v>
      </c>
      <c r="P82">
        <v>1471.4285714285709</v>
      </c>
      <c r="Q82" t="s">
        <v>48</v>
      </c>
      <c r="R82">
        <v>1544.9999999999993</v>
      </c>
      <c r="S82" t="s">
        <v>222</v>
      </c>
      <c r="T82" t="s">
        <v>88</v>
      </c>
      <c r="U82" t="s">
        <v>51</v>
      </c>
      <c r="V82" t="s">
        <v>51</v>
      </c>
      <c r="W82" t="s">
        <v>152</v>
      </c>
      <c r="X82" t="s">
        <v>153</v>
      </c>
      <c r="Y82" t="s">
        <v>48</v>
      </c>
      <c r="Z82" t="s">
        <v>244</v>
      </c>
      <c r="AA82" t="s">
        <v>231</v>
      </c>
      <c r="AB82" t="s">
        <v>12</v>
      </c>
      <c r="AC82" t="s">
        <v>56</v>
      </c>
    </row>
    <row r="83" spans="1:29" x14ac:dyDescent="0.3">
      <c r="A83">
        <v>83</v>
      </c>
      <c r="B83" t="s">
        <v>44</v>
      </c>
      <c r="C83" t="s">
        <v>82</v>
      </c>
      <c r="D83" t="s">
        <v>59</v>
      </c>
      <c r="E83" t="s">
        <v>47</v>
      </c>
      <c r="F83">
        <v>1</v>
      </c>
      <c r="G83">
        <v>2207</v>
      </c>
      <c r="H83">
        <v>0.5</v>
      </c>
      <c r="I83">
        <v>0.05</v>
      </c>
      <c r="J83">
        <v>1050.95</v>
      </c>
      <c r="K83">
        <v>71.428571428571402</v>
      </c>
      <c r="L83">
        <v>1103.4974999999999</v>
      </c>
      <c r="M83">
        <v>1500</v>
      </c>
      <c r="N83">
        <v>1500</v>
      </c>
      <c r="O83" t="s">
        <v>48</v>
      </c>
      <c r="P83">
        <v>1428.571428571428</v>
      </c>
      <c r="Q83" t="s">
        <v>48</v>
      </c>
      <c r="R83">
        <v>1499.9999999999993</v>
      </c>
      <c r="S83" t="s">
        <v>245</v>
      </c>
      <c r="T83" t="s">
        <v>88</v>
      </c>
      <c r="U83" t="s">
        <v>48</v>
      </c>
      <c r="V83" t="s">
        <v>51</v>
      </c>
      <c r="W83" t="s">
        <v>246</v>
      </c>
      <c r="X83" t="s">
        <v>48</v>
      </c>
      <c r="Y83" t="s">
        <v>48</v>
      </c>
      <c r="Z83" t="s">
        <v>247</v>
      </c>
      <c r="AA83" t="s">
        <v>248</v>
      </c>
      <c r="AB83" t="s">
        <v>12</v>
      </c>
      <c r="AC83" t="s">
        <v>56</v>
      </c>
    </row>
    <row r="84" spans="1:29" x14ac:dyDescent="0.3">
      <c r="A84">
        <v>84</v>
      </c>
      <c r="B84" t="s">
        <v>44</v>
      </c>
      <c r="C84" t="s">
        <v>111</v>
      </c>
      <c r="D84" t="s">
        <v>65</v>
      </c>
      <c r="E84" t="s">
        <v>47</v>
      </c>
      <c r="F84">
        <v>1</v>
      </c>
      <c r="G84">
        <v>4590</v>
      </c>
      <c r="H84">
        <v>0.5</v>
      </c>
      <c r="I84">
        <v>0.18</v>
      </c>
      <c r="J84">
        <v>1944.92</v>
      </c>
      <c r="K84">
        <v>420.1016949152542</v>
      </c>
      <c r="L84">
        <v>2295.0056</v>
      </c>
      <c r="M84">
        <v>2754</v>
      </c>
      <c r="N84">
        <v>2754</v>
      </c>
      <c r="O84" t="s">
        <v>48</v>
      </c>
      <c r="P84">
        <v>2333.8983050847455</v>
      </c>
      <c r="Q84" t="s">
        <v>48</v>
      </c>
      <c r="R84">
        <v>2753.9999999999995</v>
      </c>
      <c r="S84" t="s">
        <v>198</v>
      </c>
      <c r="T84" t="s">
        <v>88</v>
      </c>
      <c r="U84" t="s">
        <v>198</v>
      </c>
      <c r="V84" t="s">
        <v>198</v>
      </c>
      <c r="W84" t="s">
        <v>249</v>
      </c>
      <c r="X84" t="s">
        <v>250</v>
      </c>
      <c r="Y84" t="s">
        <v>48</v>
      </c>
      <c r="Z84" t="s">
        <v>251</v>
      </c>
      <c r="AA84" t="s">
        <v>248</v>
      </c>
      <c r="AB84" t="s">
        <v>12</v>
      </c>
      <c r="AC84" t="s">
        <v>56</v>
      </c>
    </row>
    <row r="85" spans="1:29" x14ac:dyDescent="0.3">
      <c r="A85">
        <v>85</v>
      </c>
      <c r="B85" t="s">
        <v>44</v>
      </c>
      <c r="C85" t="s">
        <v>75</v>
      </c>
      <c r="D85" t="s">
        <v>76</v>
      </c>
      <c r="E85" t="s">
        <v>47</v>
      </c>
      <c r="F85">
        <v>1</v>
      </c>
      <c r="G85">
        <v>1967</v>
      </c>
      <c r="H85">
        <v>0.5</v>
      </c>
      <c r="I85">
        <v>0.05</v>
      </c>
      <c r="J85">
        <v>936.67</v>
      </c>
      <c r="K85">
        <v>56.47619047619046</v>
      </c>
      <c r="L85">
        <v>983.50349999999992</v>
      </c>
      <c r="M85">
        <v>1186</v>
      </c>
      <c r="N85">
        <v>1186</v>
      </c>
      <c r="O85" t="s">
        <v>48</v>
      </c>
      <c r="P85">
        <v>1129.5238095238092</v>
      </c>
      <c r="Q85" t="s">
        <v>48</v>
      </c>
      <c r="R85">
        <v>1185.9999999999995</v>
      </c>
      <c r="S85" t="s">
        <v>179</v>
      </c>
      <c r="T85" t="s">
        <v>50</v>
      </c>
      <c r="U85" t="s">
        <v>179</v>
      </c>
      <c r="V85" t="s">
        <v>234</v>
      </c>
      <c r="W85" t="s">
        <v>48</v>
      </c>
      <c r="X85" t="s">
        <v>48</v>
      </c>
      <c r="Y85" t="s">
        <v>48</v>
      </c>
      <c r="Z85" t="s">
        <v>252</v>
      </c>
      <c r="AA85" t="s">
        <v>248</v>
      </c>
      <c r="AB85" t="s">
        <v>12</v>
      </c>
      <c r="AC85" t="s">
        <v>56</v>
      </c>
    </row>
    <row r="86" spans="1:29" x14ac:dyDescent="0.3">
      <c r="A86">
        <v>86</v>
      </c>
      <c r="B86" t="s">
        <v>44</v>
      </c>
      <c r="C86" t="s">
        <v>57</v>
      </c>
      <c r="D86" t="s">
        <v>117</v>
      </c>
      <c r="E86" t="s">
        <v>47</v>
      </c>
      <c r="F86">
        <v>1</v>
      </c>
      <c r="G86">
        <v>1967</v>
      </c>
      <c r="H86">
        <v>0.5</v>
      </c>
      <c r="I86">
        <v>0.05</v>
      </c>
      <c r="J86">
        <v>936.67</v>
      </c>
      <c r="K86">
        <v>56.47619047619046</v>
      </c>
      <c r="L86">
        <v>983.50349999999992</v>
      </c>
      <c r="M86">
        <v>1186</v>
      </c>
      <c r="N86">
        <v>1186</v>
      </c>
      <c r="O86" t="s">
        <v>48</v>
      </c>
      <c r="P86">
        <v>1129.5238095238092</v>
      </c>
      <c r="Q86" t="s">
        <v>48</v>
      </c>
      <c r="R86">
        <v>1185.9999999999995</v>
      </c>
      <c r="S86" t="s">
        <v>179</v>
      </c>
      <c r="T86" t="s">
        <v>50</v>
      </c>
      <c r="U86" t="s">
        <v>179</v>
      </c>
      <c r="V86" t="s">
        <v>234</v>
      </c>
      <c r="W86" t="s">
        <v>48</v>
      </c>
      <c r="X86" t="s">
        <v>48</v>
      </c>
      <c r="Y86" t="s">
        <v>48</v>
      </c>
      <c r="Z86" t="s">
        <v>253</v>
      </c>
      <c r="AA86" t="s">
        <v>248</v>
      </c>
      <c r="AB86" t="s">
        <v>12</v>
      </c>
      <c r="AC86" t="s">
        <v>56</v>
      </c>
    </row>
    <row r="87" spans="1:29" x14ac:dyDescent="0.3">
      <c r="A87">
        <v>87</v>
      </c>
      <c r="B87" t="s">
        <v>44</v>
      </c>
      <c r="C87" t="s">
        <v>75</v>
      </c>
      <c r="D87" t="s">
        <v>59</v>
      </c>
      <c r="E87" t="s">
        <v>47</v>
      </c>
      <c r="F87">
        <v>1</v>
      </c>
      <c r="G87">
        <v>1967</v>
      </c>
      <c r="H87">
        <v>0.5</v>
      </c>
      <c r="I87">
        <v>0.05</v>
      </c>
      <c r="J87">
        <v>936.67</v>
      </c>
      <c r="K87">
        <v>57.142857142857125</v>
      </c>
      <c r="L87">
        <v>983.50349999999992</v>
      </c>
      <c r="M87">
        <v>1200</v>
      </c>
      <c r="N87">
        <v>1200</v>
      </c>
      <c r="O87" t="s">
        <v>48</v>
      </c>
      <c r="P87">
        <v>1142.8571428571424</v>
      </c>
      <c r="Q87" t="s">
        <v>48</v>
      </c>
      <c r="R87">
        <v>1199.9999999999995</v>
      </c>
      <c r="S87" t="s">
        <v>80</v>
      </c>
      <c r="T87" t="s">
        <v>88</v>
      </c>
      <c r="U87" t="s">
        <v>254</v>
      </c>
      <c r="V87" t="s">
        <v>254</v>
      </c>
      <c r="W87" t="s">
        <v>255</v>
      </c>
      <c r="X87" t="s">
        <v>256</v>
      </c>
      <c r="Y87" t="s">
        <v>48</v>
      </c>
      <c r="Z87" t="s">
        <v>257</v>
      </c>
      <c r="AA87" t="s">
        <v>248</v>
      </c>
      <c r="AB87" t="s">
        <v>12</v>
      </c>
      <c r="AC87" t="s">
        <v>56</v>
      </c>
    </row>
    <row r="88" spans="1:29" x14ac:dyDescent="0.3">
      <c r="A88">
        <v>88</v>
      </c>
      <c r="B88" t="s">
        <v>68</v>
      </c>
      <c r="C88" t="s">
        <v>69</v>
      </c>
      <c r="D88" t="s">
        <v>59</v>
      </c>
      <c r="E88" t="s">
        <v>83</v>
      </c>
      <c r="F88">
        <v>1</v>
      </c>
      <c r="G88">
        <v>9000</v>
      </c>
      <c r="H88">
        <v>0.52</v>
      </c>
      <c r="I88">
        <v>0.18</v>
      </c>
      <c r="J88">
        <v>3661.02</v>
      </c>
      <c r="K88">
        <v>823.72881355932191</v>
      </c>
      <c r="L88">
        <v>4320.0036</v>
      </c>
      <c r="M88">
        <v>5400</v>
      </c>
      <c r="N88">
        <v>5400</v>
      </c>
      <c r="O88" t="s">
        <v>48</v>
      </c>
      <c r="P88">
        <v>4576.2711864406774</v>
      </c>
      <c r="Q88" t="s">
        <v>48</v>
      </c>
      <c r="R88">
        <v>5399.9999999999991</v>
      </c>
      <c r="S88" t="s">
        <v>258</v>
      </c>
      <c r="T88" t="s">
        <v>88</v>
      </c>
      <c r="U88" t="s">
        <v>259</v>
      </c>
      <c r="V88" t="s">
        <v>259</v>
      </c>
      <c r="W88" t="s">
        <v>260</v>
      </c>
      <c r="X88" t="s">
        <v>261</v>
      </c>
      <c r="Y88" t="s">
        <v>48</v>
      </c>
      <c r="Z88" t="s">
        <v>262</v>
      </c>
      <c r="AA88" t="s">
        <v>248</v>
      </c>
      <c r="AB88" t="s">
        <v>12</v>
      </c>
      <c r="AC88" t="s">
        <v>56</v>
      </c>
    </row>
    <row r="89" spans="1:29" x14ac:dyDescent="0.3">
      <c r="A89">
        <v>89</v>
      </c>
      <c r="B89" t="s">
        <v>68</v>
      </c>
      <c r="C89" t="s">
        <v>69</v>
      </c>
      <c r="D89" t="s">
        <v>65</v>
      </c>
      <c r="E89" t="s">
        <v>83</v>
      </c>
      <c r="F89">
        <v>1</v>
      </c>
      <c r="G89">
        <v>9000</v>
      </c>
      <c r="H89">
        <v>0.52</v>
      </c>
      <c r="I89">
        <v>0.18</v>
      </c>
      <c r="J89">
        <v>3661.02</v>
      </c>
      <c r="K89">
        <v>823.72881355932191</v>
      </c>
      <c r="L89">
        <v>4320.0036</v>
      </c>
      <c r="M89">
        <v>5400</v>
      </c>
      <c r="N89">
        <v>5400</v>
      </c>
      <c r="O89" t="s">
        <v>48</v>
      </c>
      <c r="P89">
        <v>4576.2711864406774</v>
      </c>
      <c r="Q89" t="s">
        <v>48</v>
      </c>
      <c r="R89">
        <v>5399.9999999999991</v>
      </c>
      <c r="S89" t="s">
        <v>258</v>
      </c>
      <c r="T89" t="s">
        <v>88</v>
      </c>
      <c r="U89" t="s">
        <v>259</v>
      </c>
      <c r="V89" t="s">
        <v>259</v>
      </c>
      <c r="W89" t="s">
        <v>260</v>
      </c>
      <c r="X89" t="s">
        <v>261</v>
      </c>
      <c r="Y89" t="s">
        <v>48</v>
      </c>
      <c r="Z89" t="s">
        <v>263</v>
      </c>
      <c r="AA89" t="s">
        <v>248</v>
      </c>
      <c r="AB89" t="s">
        <v>12</v>
      </c>
      <c r="AC89" t="s">
        <v>56</v>
      </c>
    </row>
    <row r="90" spans="1:29" x14ac:dyDescent="0.3">
      <c r="A90">
        <v>90</v>
      </c>
      <c r="B90" t="s">
        <v>68</v>
      </c>
      <c r="C90" t="s">
        <v>69</v>
      </c>
      <c r="D90" t="s">
        <v>99</v>
      </c>
      <c r="E90" t="s">
        <v>83</v>
      </c>
      <c r="F90">
        <v>1</v>
      </c>
      <c r="G90">
        <v>9000</v>
      </c>
      <c r="H90">
        <v>0.52</v>
      </c>
      <c r="I90">
        <v>0.18</v>
      </c>
      <c r="J90">
        <v>3661.02</v>
      </c>
      <c r="K90">
        <v>823.72881355932191</v>
      </c>
      <c r="L90">
        <v>4320.0036</v>
      </c>
      <c r="M90">
        <v>5400</v>
      </c>
      <c r="N90">
        <v>5400</v>
      </c>
      <c r="O90" t="s">
        <v>48</v>
      </c>
      <c r="P90">
        <v>4576.2711864406774</v>
      </c>
      <c r="Q90" t="s">
        <v>48</v>
      </c>
      <c r="R90">
        <v>5399.9999999999991</v>
      </c>
      <c r="S90" t="s">
        <v>258</v>
      </c>
      <c r="T90" t="s">
        <v>88</v>
      </c>
      <c r="U90" t="s">
        <v>259</v>
      </c>
      <c r="V90" t="s">
        <v>259</v>
      </c>
      <c r="W90" t="s">
        <v>260</v>
      </c>
      <c r="X90" t="s">
        <v>261</v>
      </c>
      <c r="Y90" t="s">
        <v>48</v>
      </c>
      <c r="Z90" t="s">
        <v>264</v>
      </c>
      <c r="AA90" t="s">
        <v>248</v>
      </c>
      <c r="AB90" t="s">
        <v>12</v>
      </c>
      <c r="AC90" t="s">
        <v>56</v>
      </c>
    </row>
    <row r="91" spans="1:29" x14ac:dyDescent="0.3">
      <c r="A91">
        <v>91</v>
      </c>
      <c r="B91" t="s">
        <v>44</v>
      </c>
      <c r="C91" t="s">
        <v>57</v>
      </c>
      <c r="D91" t="s">
        <v>117</v>
      </c>
      <c r="E91" t="s">
        <v>83</v>
      </c>
      <c r="F91">
        <v>1</v>
      </c>
      <c r="G91">
        <v>1967</v>
      </c>
      <c r="H91">
        <v>0.52</v>
      </c>
      <c r="I91">
        <v>0.05</v>
      </c>
      <c r="J91">
        <v>899.2</v>
      </c>
      <c r="K91">
        <v>56.190476190476176</v>
      </c>
      <c r="L91">
        <v>944.16000000000008</v>
      </c>
      <c r="M91">
        <v>1180</v>
      </c>
      <c r="N91">
        <v>1180</v>
      </c>
      <c r="O91" t="s">
        <v>48</v>
      </c>
      <c r="P91">
        <v>1123.8095238095234</v>
      </c>
      <c r="Q91" t="s">
        <v>48</v>
      </c>
      <c r="R91">
        <v>1179.9999999999995</v>
      </c>
      <c r="S91" t="s">
        <v>258</v>
      </c>
      <c r="T91" t="s">
        <v>88</v>
      </c>
      <c r="U91" t="s">
        <v>259</v>
      </c>
      <c r="V91" t="s">
        <v>259</v>
      </c>
      <c r="W91" t="s">
        <v>260</v>
      </c>
      <c r="X91" t="s">
        <v>261</v>
      </c>
      <c r="Y91" t="s">
        <v>48</v>
      </c>
      <c r="Z91" t="s">
        <v>265</v>
      </c>
      <c r="AA91" t="s">
        <v>266</v>
      </c>
      <c r="AB91" t="s">
        <v>12</v>
      </c>
      <c r="AC91" t="s">
        <v>56</v>
      </c>
    </row>
    <row r="92" spans="1:29" x14ac:dyDescent="0.3">
      <c r="A92">
        <v>92</v>
      </c>
      <c r="B92" t="s">
        <v>44</v>
      </c>
      <c r="C92" t="s">
        <v>64</v>
      </c>
      <c r="D92" t="s">
        <v>99</v>
      </c>
      <c r="E92" t="s">
        <v>83</v>
      </c>
      <c r="F92">
        <v>1</v>
      </c>
      <c r="G92">
        <v>4500</v>
      </c>
      <c r="H92">
        <v>0.52</v>
      </c>
      <c r="I92">
        <v>0.05</v>
      </c>
      <c r="J92">
        <v>1830.51</v>
      </c>
      <c r="K92">
        <v>128.57142857142853</v>
      </c>
      <c r="L92">
        <v>1922.0355</v>
      </c>
      <c r="M92">
        <v>2700</v>
      </c>
      <c r="N92">
        <v>2700</v>
      </c>
      <c r="O92" t="s">
        <v>48</v>
      </c>
      <c r="P92">
        <v>2571.4285714285702</v>
      </c>
      <c r="Q92" t="s">
        <v>48</v>
      </c>
      <c r="R92">
        <v>2699.9999999999986</v>
      </c>
      <c r="S92" t="s">
        <v>258</v>
      </c>
      <c r="T92" t="s">
        <v>88</v>
      </c>
      <c r="U92" t="s">
        <v>259</v>
      </c>
      <c r="V92" t="s">
        <v>259</v>
      </c>
      <c r="W92" t="s">
        <v>260</v>
      </c>
      <c r="X92" t="s">
        <v>261</v>
      </c>
      <c r="Y92" t="s">
        <v>48</v>
      </c>
      <c r="Z92" t="s">
        <v>267</v>
      </c>
      <c r="AA92" t="s">
        <v>266</v>
      </c>
      <c r="AB92" t="s">
        <v>12</v>
      </c>
      <c r="AC92" t="s">
        <v>56</v>
      </c>
    </row>
    <row r="93" spans="1:29" x14ac:dyDescent="0.3">
      <c r="A93">
        <v>94</v>
      </c>
      <c r="B93" t="s">
        <v>44</v>
      </c>
      <c r="C93" t="s">
        <v>64</v>
      </c>
      <c r="D93" t="s">
        <v>65</v>
      </c>
      <c r="E93" t="s">
        <v>83</v>
      </c>
      <c r="F93">
        <v>1</v>
      </c>
      <c r="G93">
        <v>4500</v>
      </c>
      <c r="H93">
        <v>0.52</v>
      </c>
      <c r="I93">
        <v>0.05</v>
      </c>
      <c r="J93">
        <v>1830.51</v>
      </c>
      <c r="K93">
        <v>128.57142857142853</v>
      </c>
      <c r="L93">
        <v>1922.0355</v>
      </c>
      <c r="M93">
        <v>2700</v>
      </c>
      <c r="N93">
        <v>2700</v>
      </c>
      <c r="O93" t="s">
        <v>48</v>
      </c>
      <c r="P93">
        <v>2571.4285714285702</v>
      </c>
      <c r="Q93" t="s">
        <v>48</v>
      </c>
      <c r="R93">
        <v>2699.9999999999986</v>
      </c>
      <c r="S93" t="s">
        <v>258</v>
      </c>
      <c r="T93" t="s">
        <v>50</v>
      </c>
      <c r="U93" t="s">
        <v>259</v>
      </c>
      <c r="V93" t="s">
        <v>259</v>
      </c>
      <c r="W93" t="s">
        <v>268</v>
      </c>
      <c r="X93" t="s">
        <v>269</v>
      </c>
      <c r="Y93" t="s">
        <v>48</v>
      </c>
      <c r="Z93" t="s">
        <v>270</v>
      </c>
      <c r="AA93" t="s">
        <v>266</v>
      </c>
      <c r="AB93" t="s">
        <v>12</v>
      </c>
      <c r="AC93" t="s">
        <v>56</v>
      </c>
    </row>
    <row r="94" spans="1:29" x14ac:dyDescent="0.3">
      <c r="A94">
        <v>95</v>
      </c>
      <c r="B94" t="s">
        <v>44</v>
      </c>
      <c r="C94" t="s">
        <v>64</v>
      </c>
      <c r="D94" t="s">
        <v>65</v>
      </c>
      <c r="E94" t="s">
        <v>83</v>
      </c>
      <c r="F94">
        <v>1</v>
      </c>
      <c r="G94">
        <v>4500</v>
      </c>
      <c r="H94">
        <v>0.52</v>
      </c>
      <c r="I94">
        <v>0.05</v>
      </c>
      <c r="J94">
        <v>1830.51</v>
      </c>
      <c r="K94">
        <v>128.57142857142853</v>
      </c>
      <c r="L94">
        <v>1922.0355</v>
      </c>
      <c r="M94">
        <v>2700</v>
      </c>
      <c r="N94">
        <v>2700</v>
      </c>
      <c r="O94" t="s">
        <v>48</v>
      </c>
      <c r="P94">
        <v>2571.4285714285702</v>
      </c>
      <c r="Q94" t="s">
        <v>48</v>
      </c>
      <c r="R94">
        <v>2699.9999999999986</v>
      </c>
      <c r="S94" t="s">
        <v>258</v>
      </c>
      <c r="T94" t="s">
        <v>50</v>
      </c>
      <c r="U94" t="s">
        <v>259</v>
      </c>
      <c r="V94" t="s">
        <v>259</v>
      </c>
      <c r="W94" t="s">
        <v>268</v>
      </c>
      <c r="X94" t="s">
        <v>269</v>
      </c>
      <c r="Y94" t="s">
        <v>48</v>
      </c>
      <c r="Z94" t="s">
        <v>271</v>
      </c>
      <c r="AA94" t="s">
        <v>266</v>
      </c>
      <c r="AB94" t="s">
        <v>12</v>
      </c>
      <c r="AC94" t="s">
        <v>56</v>
      </c>
    </row>
    <row r="95" spans="1:29" x14ac:dyDescent="0.3">
      <c r="A95">
        <v>96</v>
      </c>
      <c r="B95" t="s">
        <v>44</v>
      </c>
      <c r="C95" t="s">
        <v>64</v>
      </c>
      <c r="D95" t="s">
        <v>59</v>
      </c>
      <c r="E95" t="s">
        <v>83</v>
      </c>
      <c r="F95">
        <v>1</v>
      </c>
      <c r="G95">
        <v>4500</v>
      </c>
      <c r="H95">
        <v>0.52</v>
      </c>
      <c r="I95">
        <v>0.05</v>
      </c>
      <c r="J95">
        <v>1830.51</v>
      </c>
      <c r="K95">
        <v>102.85714285714283</v>
      </c>
      <c r="L95">
        <v>1922.0355</v>
      </c>
      <c r="M95">
        <v>2160</v>
      </c>
      <c r="N95">
        <v>2160</v>
      </c>
      <c r="O95" t="s">
        <v>48</v>
      </c>
      <c r="P95">
        <v>2057.1428571428564</v>
      </c>
      <c r="Q95" t="s">
        <v>48</v>
      </c>
      <c r="R95">
        <v>2159.9999999999991</v>
      </c>
      <c r="S95" t="s">
        <v>272</v>
      </c>
      <c r="T95" t="s">
        <v>50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273</v>
      </c>
      <c r="AA95" t="s">
        <v>266</v>
      </c>
      <c r="AB95" t="s">
        <v>12</v>
      </c>
      <c r="AC95" t="s">
        <v>56</v>
      </c>
    </row>
    <row r="96" spans="1:29" x14ac:dyDescent="0.3">
      <c r="A96">
        <v>97</v>
      </c>
      <c r="B96" t="s">
        <v>44</v>
      </c>
      <c r="C96" t="s">
        <v>274</v>
      </c>
      <c r="D96" t="s">
        <v>65</v>
      </c>
      <c r="E96" t="s">
        <v>83</v>
      </c>
      <c r="F96">
        <v>1</v>
      </c>
      <c r="G96">
        <v>2999</v>
      </c>
      <c r="H96">
        <v>0.52</v>
      </c>
      <c r="I96">
        <v>0.05</v>
      </c>
      <c r="J96">
        <v>1370.97</v>
      </c>
      <c r="K96">
        <v>68.571428571428541</v>
      </c>
      <c r="L96">
        <v>1439.5185000000001</v>
      </c>
      <c r="M96">
        <v>1440</v>
      </c>
      <c r="N96">
        <v>1440</v>
      </c>
      <c r="O96" t="s">
        <v>48</v>
      </c>
      <c r="P96">
        <v>1371.4285714285709</v>
      </c>
      <c r="Q96" t="s">
        <v>48</v>
      </c>
      <c r="R96">
        <v>1439.9999999999993</v>
      </c>
      <c r="S96" t="s">
        <v>275</v>
      </c>
      <c r="T96" t="s">
        <v>50</v>
      </c>
      <c r="U96" t="s">
        <v>48</v>
      </c>
      <c r="V96" t="s">
        <v>234</v>
      </c>
      <c r="W96" t="s">
        <v>48</v>
      </c>
      <c r="X96" t="s">
        <v>48</v>
      </c>
      <c r="Y96" t="s">
        <v>48</v>
      </c>
      <c r="Z96" t="s">
        <v>276</v>
      </c>
      <c r="AA96" t="s">
        <v>266</v>
      </c>
      <c r="AB96" t="s">
        <v>12</v>
      </c>
      <c r="AC96" t="s">
        <v>56</v>
      </c>
    </row>
    <row r="97" spans="1:29" x14ac:dyDescent="0.3">
      <c r="A97">
        <v>101</v>
      </c>
      <c r="B97" t="s">
        <v>238</v>
      </c>
      <c r="C97" t="s">
        <v>239</v>
      </c>
      <c r="D97" t="s">
        <v>76</v>
      </c>
      <c r="E97" t="s">
        <v>83</v>
      </c>
      <c r="F97">
        <v>1</v>
      </c>
      <c r="G97">
        <v>3299</v>
      </c>
      <c r="H97">
        <v>0.52</v>
      </c>
      <c r="I97">
        <v>0.05</v>
      </c>
      <c r="J97">
        <v>1423.32</v>
      </c>
      <c r="K97">
        <v>109.95238095238092</v>
      </c>
      <c r="L97">
        <v>1494.4859999999999</v>
      </c>
      <c r="M97">
        <v>2309</v>
      </c>
      <c r="N97">
        <v>2309</v>
      </c>
      <c r="O97" t="s">
        <v>48</v>
      </c>
      <c r="P97">
        <v>2199.0476190476184</v>
      </c>
      <c r="Q97" t="s">
        <v>48</v>
      </c>
      <c r="R97">
        <v>2308.9999999999991</v>
      </c>
      <c r="S97" t="s">
        <v>277</v>
      </c>
      <c r="T97" t="s">
        <v>88</v>
      </c>
      <c r="U97" t="s">
        <v>277</v>
      </c>
      <c r="V97" t="s">
        <v>277</v>
      </c>
      <c r="W97" t="s">
        <v>131</v>
      </c>
      <c r="X97" t="s">
        <v>278</v>
      </c>
      <c r="Y97" t="s">
        <v>48</v>
      </c>
      <c r="Z97" t="s">
        <v>279</v>
      </c>
      <c r="AA97" t="s">
        <v>266</v>
      </c>
      <c r="AB97" t="s">
        <v>12</v>
      </c>
      <c r="AC97" t="s">
        <v>56</v>
      </c>
    </row>
    <row r="98" spans="1:29" x14ac:dyDescent="0.3">
      <c r="A98">
        <v>102</v>
      </c>
      <c r="B98" t="s">
        <v>44</v>
      </c>
      <c r="C98" t="s">
        <v>45</v>
      </c>
      <c r="D98" t="s">
        <v>46</v>
      </c>
      <c r="E98" t="s">
        <v>47</v>
      </c>
      <c r="F98">
        <v>1</v>
      </c>
      <c r="G98">
        <v>2207</v>
      </c>
      <c r="H98">
        <v>0.5</v>
      </c>
      <c r="I98">
        <v>0.05</v>
      </c>
      <c r="J98">
        <v>1050.95</v>
      </c>
      <c r="K98">
        <v>52.547500000000007</v>
      </c>
      <c r="L98">
        <v>1103.4974999999999</v>
      </c>
      <c r="M98">
        <v>52.547500000000007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280</v>
      </c>
      <c r="T98" t="s">
        <v>50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281</v>
      </c>
      <c r="AA98" t="s">
        <v>266</v>
      </c>
      <c r="AB98" t="s">
        <v>12</v>
      </c>
      <c r="AC98" t="s">
        <v>56</v>
      </c>
    </row>
    <row r="99" spans="1:29" x14ac:dyDescent="0.3">
      <c r="A99">
        <v>103</v>
      </c>
      <c r="B99" t="s">
        <v>44</v>
      </c>
      <c r="C99" t="s">
        <v>82</v>
      </c>
      <c r="D99" t="s">
        <v>46</v>
      </c>
      <c r="E99" t="s">
        <v>83</v>
      </c>
      <c r="F99">
        <v>1</v>
      </c>
      <c r="G99">
        <v>2207</v>
      </c>
      <c r="H99">
        <v>0.52</v>
      </c>
      <c r="I99">
        <v>0.05</v>
      </c>
      <c r="J99">
        <v>1008.91</v>
      </c>
      <c r="K99">
        <v>50.445500000000003</v>
      </c>
      <c r="L99">
        <v>1059.3554999999999</v>
      </c>
      <c r="M99">
        <v>50.445500000000003</v>
      </c>
      <c r="N99" t="s">
        <v>48</v>
      </c>
      <c r="O99" t="s">
        <v>48</v>
      </c>
      <c r="P99" t="s">
        <v>48</v>
      </c>
      <c r="Q99" t="s">
        <v>48</v>
      </c>
      <c r="R99" t="s">
        <v>48</v>
      </c>
      <c r="S99" t="s">
        <v>280</v>
      </c>
      <c r="T99" t="s">
        <v>50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282</v>
      </c>
      <c r="AA99" t="s">
        <v>266</v>
      </c>
      <c r="AB99" t="s">
        <v>12</v>
      </c>
      <c r="AC99" t="s">
        <v>56</v>
      </c>
    </row>
    <row r="100" spans="1:29" x14ac:dyDescent="0.3">
      <c r="A100">
        <v>104</v>
      </c>
      <c r="B100" t="s">
        <v>238</v>
      </c>
      <c r="C100" t="s">
        <v>239</v>
      </c>
      <c r="D100" t="s">
        <v>76</v>
      </c>
      <c r="E100" t="s">
        <v>83</v>
      </c>
      <c r="F100">
        <v>1</v>
      </c>
      <c r="G100">
        <v>3299</v>
      </c>
      <c r="H100">
        <v>0.52</v>
      </c>
      <c r="I100">
        <v>0.05</v>
      </c>
      <c r="J100">
        <v>1423.32</v>
      </c>
      <c r="K100">
        <v>71.165999999999997</v>
      </c>
      <c r="L100">
        <v>1494.4859999999999</v>
      </c>
      <c r="M100">
        <v>71.165999999999997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283</v>
      </c>
      <c r="T100" t="s">
        <v>50</v>
      </c>
      <c r="U100" t="s">
        <v>48</v>
      </c>
      <c r="V100" t="s">
        <v>234</v>
      </c>
      <c r="W100" t="s">
        <v>48</v>
      </c>
      <c r="X100" t="s">
        <v>48</v>
      </c>
      <c r="Y100" t="s">
        <v>48</v>
      </c>
      <c r="Z100" t="s">
        <v>284</v>
      </c>
      <c r="AA100" t="s">
        <v>266</v>
      </c>
      <c r="AB100" t="s">
        <v>12</v>
      </c>
      <c r="AC100" t="s">
        <v>56</v>
      </c>
    </row>
    <row r="101" spans="1:29" x14ac:dyDescent="0.3">
      <c r="A101">
        <v>107</v>
      </c>
      <c r="B101" t="s">
        <v>44</v>
      </c>
      <c r="C101" t="s">
        <v>57</v>
      </c>
      <c r="D101" t="s">
        <v>76</v>
      </c>
      <c r="E101" t="s">
        <v>47</v>
      </c>
      <c r="F101">
        <v>1</v>
      </c>
      <c r="G101">
        <v>1967</v>
      </c>
      <c r="H101">
        <v>0.5</v>
      </c>
      <c r="I101">
        <v>0.05</v>
      </c>
      <c r="J101">
        <v>936.67</v>
      </c>
      <c r="K101">
        <v>57.142857142857125</v>
      </c>
      <c r="L101">
        <v>983.50349999999992</v>
      </c>
      <c r="M101">
        <v>1200</v>
      </c>
      <c r="N101">
        <v>1200</v>
      </c>
      <c r="O101" t="s">
        <v>48</v>
      </c>
      <c r="P101">
        <v>1142.8571428571424</v>
      </c>
      <c r="Q101" t="s">
        <v>48</v>
      </c>
      <c r="R101">
        <v>1199.9999999999995</v>
      </c>
      <c r="S101" t="s">
        <v>80</v>
      </c>
      <c r="T101" t="s">
        <v>88</v>
      </c>
      <c r="U101" t="s">
        <v>254</v>
      </c>
      <c r="V101" t="s">
        <v>254</v>
      </c>
      <c r="W101" t="s">
        <v>255</v>
      </c>
      <c r="X101" t="s">
        <v>256</v>
      </c>
      <c r="Y101" t="s">
        <v>48</v>
      </c>
      <c r="Z101" t="s">
        <v>285</v>
      </c>
      <c r="AA101" t="s">
        <v>266</v>
      </c>
      <c r="AB101" t="s">
        <v>12</v>
      </c>
      <c r="AC101" t="s">
        <v>56</v>
      </c>
    </row>
    <row r="102" spans="1:29" x14ac:dyDescent="0.3">
      <c r="A102">
        <v>108</v>
      </c>
      <c r="B102" t="s">
        <v>44</v>
      </c>
      <c r="C102" t="s">
        <v>75</v>
      </c>
      <c r="D102" t="s">
        <v>65</v>
      </c>
      <c r="E102" t="s">
        <v>47</v>
      </c>
      <c r="F102">
        <v>1</v>
      </c>
      <c r="G102">
        <v>1967</v>
      </c>
      <c r="H102">
        <v>0.5</v>
      </c>
      <c r="I102">
        <v>0.05</v>
      </c>
      <c r="J102">
        <v>936.67</v>
      </c>
      <c r="K102">
        <v>65.571428571428541</v>
      </c>
      <c r="L102">
        <v>983.50349999999992</v>
      </c>
      <c r="M102">
        <v>1377</v>
      </c>
      <c r="N102">
        <v>1377</v>
      </c>
      <c r="O102" t="s">
        <v>48</v>
      </c>
      <c r="P102">
        <v>1311.4285714285709</v>
      </c>
      <c r="Q102" t="s">
        <v>48</v>
      </c>
      <c r="R102">
        <v>1376.9999999999993</v>
      </c>
      <c r="S102" t="s">
        <v>77</v>
      </c>
      <c r="T102" t="s">
        <v>88</v>
      </c>
      <c r="U102" t="s">
        <v>77</v>
      </c>
      <c r="V102" t="s">
        <v>77</v>
      </c>
      <c r="W102" t="s">
        <v>286</v>
      </c>
      <c r="X102" t="s">
        <v>287</v>
      </c>
      <c r="Y102" t="s">
        <v>48</v>
      </c>
      <c r="Z102" t="s">
        <v>288</v>
      </c>
      <c r="AA102" t="s">
        <v>289</v>
      </c>
      <c r="AB102" t="s">
        <v>12</v>
      </c>
      <c r="AC102" t="s">
        <v>56</v>
      </c>
    </row>
    <row r="103" spans="1:29" x14ac:dyDescent="0.3">
      <c r="A103">
        <v>109</v>
      </c>
      <c r="B103" t="s">
        <v>68</v>
      </c>
      <c r="C103" t="s">
        <v>114</v>
      </c>
      <c r="D103" t="s">
        <v>86</v>
      </c>
      <c r="E103" t="s">
        <v>83</v>
      </c>
      <c r="F103">
        <v>1</v>
      </c>
      <c r="G103">
        <v>5000</v>
      </c>
      <c r="H103">
        <v>0.52</v>
      </c>
      <c r="I103">
        <v>0.05</v>
      </c>
      <c r="J103">
        <v>4761.8999999999996</v>
      </c>
      <c r="K103">
        <v>142.857</v>
      </c>
      <c r="L103">
        <v>4999.9949999999999</v>
      </c>
      <c r="M103">
        <v>3000</v>
      </c>
      <c r="N103">
        <v>3000</v>
      </c>
      <c r="O103" t="s">
        <v>48</v>
      </c>
      <c r="P103">
        <v>2857.14</v>
      </c>
      <c r="Q103" t="s">
        <v>48</v>
      </c>
      <c r="R103">
        <v>2999.9969999999998</v>
      </c>
      <c r="S103" t="s">
        <v>228</v>
      </c>
      <c r="T103" t="s">
        <v>50</v>
      </c>
      <c r="U103" t="s">
        <v>228</v>
      </c>
      <c r="V103" t="s">
        <v>228</v>
      </c>
      <c r="W103" t="s">
        <v>229</v>
      </c>
      <c r="X103" t="s">
        <v>48</v>
      </c>
      <c r="Y103" t="s">
        <v>48</v>
      </c>
      <c r="Z103" t="s">
        <v>290</v>
      </c>
      <c r="AA103" t="s">
        <v>289</v>
      </c>
      <c r="AB103" t="s">
        <v>12</v>
      </c>
      <c r="AC103" t="s">
        <v>56</v>
      </c>
    </row>
    <row r="104" spans="1:29" x14ac:dyDescent="0.3">
      <c r="A104">
        <v>110</v>
      </c>
      <c r="B104" t="s">
        <v>44</v>
      </c>
      <c r="C104" t="s">
        <v>75</v>
      </c>
      <c r="D104" t="s">
        <v>59</v>
      </c>
      <c r="E104" t="s">
        <v>47</v>
      </c>
      <c r="F104">
        <v>1</v>
      </c>
      <c r="G104">
        <v>1967</v>
      </c>
      <c r="H104">
        <v>0.5</v>
      </c>
      <c r="I104">
        <v>0.05</v>
      </c>
      <c r="J104">
        <v>1873.33</v>
      </c>
      <c r="K104">
        <v>65.571428571428541</v>
      </c>
      <c r="L104">
        <v>1966.9965</v>
      </c>
      <c r="M104">
        <v>1377</v>
      </c>
      <c r="N104">
        <v>1377</v>
      </c>
      <c r="O104" t="s">
        <v>48</v>
      </c>
      <c r="P104">
        <v>1311.4285714285709</v>
      </c>
      <c r="Q104" t="s">
        <v>48</v>
      </c>
      <c r="R104">
        <v>1376.9999999999993</v>
      </c>
      <c r="S104" t="s">
        <v>291</v>
      </c>
      <c r="T104" t="s">
        <v>88</v>
      </c>
      <c r="U104" t="s">
        <v>219</v>
      </c>
      <c r="V104" t="s">
        <v>219</v>
      </c>
      <c r="W104" t="s">
        <v>292</v>
      </c>
      <c r="X104" t="s">
        <v>293</v>
      </c>
      <c r="Y104" t="s">
        <v>48</v>
      </c>
      <c r="Z104" t="s">
        <v>294</v>
      </c>
      <c r="AA104" t="s">
        <v>289</v>
      </c>
      <c r="AB104" t="s">
        <v>12</v>
      </c>
      <c r="AC104" t="s">
        <v>56</v>
      </c>
    </row>
    <row r="105" spans="1:29" x14ac:dyDescent="0.3">
      <c r="A105">
        <v>111</v>
      </c>
      <c r="B105" t="s">
        <v>44</v>
      </c>
      <c r="C105" t="s">
        <v>64</v>
      </c>
      <c r="D105" t="s">
        <v>76</v>
      </c>
      <c r="E105" t="s">
        <v>47</v>
      </c>
      <c r="F105">
        <v>1</v>
      </c>
      <c r="G105">
        <v>4500</v>
      </c>
      <c r="H105">
        <v>0.5</v>
      </c>
      <c r="I105">
        <v>0.18</v>
      </c>
      <c r="J105">
        <v>3813.55</v>
      </c>
      <c r="K105">
        <v>411.86519999999996</v>
      </c>
      <c r="L105">
        <v>4499.9890000000005</v>
      </c>
      <c r="M105">
        <v>2700</v>
      </c>
      <c r="N105">
        <v>2700</v>
      </c>
      <c r="O105" t="s">
        <v>48</v>
      </c>
      <c r="P105">
        <v>2288.14</v>
      </c>
      <c r="Q105" t="s">
        <v>48</v>
      </c>
      <c r="R105">
        <v>2700.0051999999996</v>
      </c>
      <c r="S105" t="s">
        <v>295</v>
      </c>
      <c r="T105" t="s">
        <v>88</v>
      </c>
      <c r="U105" t="s">
        <v>219</v>
      </c>
      <c r="V105" t="s">
        <v>219</v>
      </c>
      <c r="W105" t="s">
        <v>292</v>
      </c>
      <c r="X105" t="s">
        <v>293</v>
      </c>
      <c r="Y105" t="s">
        <v>48</v>
      </c>
      <c r="Z105" t="s">
        <v>296</v>
      </c>
      <c r="AA105" t="s">
        <v>289</v>
      </c>
      <c r="AB105" t="s">
        <v>12</v>
      </c>
      <c r="AC105" t="s">
        <v>56</v>
      </c>
    </row>
    <row r="106" spans="1:29" x14ac:dyDescent="0.3">
      <c r="A106">
        <v>112</v>
      </c>
      <c r="B106" t="s">
        <v>232</v>
      </c>
      <c r="C106" t="s">
        <v>297</v>
      </c>
      <c r="D106" t="s">
        <v>65</v>
      </c>
      <c r="E106" t="s">
        <v>47</v>
      </c>
      <c r="F106">
        <v>1</v>
      </c>
      <c r="G106">
        <v>6500</v>
      </c>
      <c r="H106">
        <v>0.5</v>
      </c>
      <c r="I106">
        <v>0.18</v>
      </c>
      <c r="J106">
        <v>5508.47</v>
      </c>
      <c r="K106">
        <v>644.4914399999999</v>
      </c>
      <c r="L106">
        <v>6499.9946</v>
      </c>
      <c r="M106">
        <v>4225</v>
      </c>
      <c r="N106">
        <v>4225</v>
      </c>
      <c r="O106" t="s">
        <v>48</v>
      </c>
      <c r="P106">
        <v>3580.5079999999998</v>
      </c>
      <c r="Q106" t="s">
        <v>48</v>
      </c>
      <c r="R106">
        <v>4224.9994399999996</v>
      </c>
      <c r="S106" t="s">
        <v>298</v>
      </c>
      <c r="T106" t="s">
        <v>88</v>
      </c>
      <c r="U106" t="s">
        <v>219</v>
      </c>
      <c r="V106" t="s">
        <v>219</v>
      </c>
      <c r="W106" t="s">
        <v>292</v>
      </c>
      <c r="X106" t="s">
        <v>293</v>
      </c>
      <c r="Y106" t="s">
        <v>48</v>
      </c>
      <c r="Z106" t="s">
        <v>299</v>
      </c>
      <c r="AA106" t="s">
        <v>289</v>
      </c>
      <c r="AB106" t="s">
        <v>12</v>
      </c>
      <c r="AC106" t="s">
        <v>56</v>
      </c>
    </row>
    <row r="107" spans="1:29" x14ac:dyDescent="0.3">
      <c r="A107">
        <v>113</v>
      </c>
      <c r="B107" t="s">
        <v>300</v>
      </c>
      <c r="C107" t="s">
        <v>300</v>
      </c>
      <c r="D107" t="s">
        <v>301</v>
      </c>
      <c r="E107" t="s">
        <v>83</v>
      </c>
      <c r="F107">
        <v>1</v>
      </c>
      <c r="G107">
        <v>406.8</v>
      </c>
      <c r="H107">
        <v>0.52</v>
      </c>
      <c r="I107">
        <v>0.18</v>
      </c>
      <c r="J107">
        <v>344.745</v>
      </c>
      <c r="K107">
        <v>43.4754</v>
      </c>
      <c r="L107">
        <v>406.79910000000001</v>
      </c>
      <c r="M107">
        <v>285</v>
      </c>
      <c r="N107">
        <v>285</v>
      </c>
      <c r="O107" t="s">
        <v>48</v>
      </c>
      <c r="P107">
        <v>241.53</v>
      </c>
      <c r="Q107" t="s">
        <v>48</v>
      </c>
      <c r="R107">
        <v>285.00540000000001</v>
      </c>
      <c r="S107" t="s">
        <v>298</v>
      </c>
      <c r="T107" t="s">
        <v>88</v>
      </c>
      <c r="U107" t="s">
        <v>219</v>
      </c>
      <c r="V107" t="s">
        <v>219</v>
      </c>
      <c r="W107" t="s">
        <v>292</v>
      </c>
      <c r="X107" t="s">
        <v>293</v>
      </c>
      <c r="Y107" t="s">
        <v>48</v>
      </c>
      <c r="Z107" t="s">
        <v>302</v>
      </c>
      <c r="AA107" t="s">
        <v>289</v>
      </c>
      <c r="AB107" t="s">
        <v>12</v>
      </c>
      <c r="AC107" t="s">
        <v>56</v>
      </c>
    </row>
    <row r="108" spans="1:29" x14ac:dyDescent="0.3">
      <c r="A108">
        <v>114</v>
      </c>
      <c r="B108" t="s">
        <v>303</v>
      </c>
      <c r="C108" t="s">
        <v>303</v>
      </c>
      <c r="D108" t="s">
        <v>301</v>
      </c>
      <c r="E108" t="s">
        <v>83</v>
      </c>
      <c r="F108">
        <v>1</v>
      </c>
      <c r="G108">
        <v>251.69</v>
      </c>
      <c r="H108">
        <v>0.52</v>
      </c>
      <c r="I108">
        <v>0.18</v>
      </c>
      <c r="J108">
        <v>213.3</v>
      </c>
      <c r="K108">
        <v>31.7286</v>
      </c>
      <c r="L108">
        <v>251.69400000000002</v>
      </c>
      <c r="M108">
        <v>208</v>
      </c>
      <c r="N108">
        <v>208</v>
      </c>
      <c r="O108" t="s">
        <v>48</v>
      </c>
      <c r="P108">
        <v>176.27</v>
      </c>
      <c r="Q108" t="s">
        <v>48</v>
      </c>
      <c r="R108">
        <v>207.99860000000001</v>
      </c>
      <c r="S108" t="s">
        <v>298</v>
      </c>
      <c r="T108" t="s">
        <v>88</v>
      </c>
      <c r="U108" t="s">
        <v>219</v>
      </c>
      <c r="V108" t="s">
        <v>219</v>
      </c>
      <c r="W108" t="s">
        <v>292</v>
      </c>
      <c r="X108" t="s">
        <v>293</v>
      </c>
      <c r="Y108" t="s">
        <v>48</v>
      </c>
      <c r="Z108" t="s">
        <v>304</v>
      </c>
      <c r="AA108" t="s">
        <v>289</v>
      </c>
      <c r="AB108" t="s">
        <v>12</v>
      </c>
      <c r="AC108" t="s">
        <v>56</v>
      </c>
    </row>
    <row r="109" spans="1:29" x14ac:dyDescent="0.3">
      <c r="A109">
        <v>115</v>
      </c>
      <c r="B109" t="s">
        <v>305</v>
      </c>
      <c r="C109" t="s">
        <v>305</v>
      </c>
      <c r="D109" t="s">
        <v>301</v>
      </c>
      <c r="E109" t="s">
        <v>83</v>
      </c>
      <c r="F109">
        <v>1</v>
      </c>
      <c r="G109">
        <v>243</v>
      </c>
      <c r="H109">
        <v>0.52</v>
      </c>
      <c r="I109">
        <v>0.05</v>
      </c>
      <c r="J109">
        <v>111.09</v>
      </c>
      <c r="K109">
        <v>8.0950000000000006</v>
      </c>
      <c r="L109">
        <v>116.64450000000001</v>
      </c>
      <c r="M109">
        <v>170</v>
      </c>
      <c r="N109">
        <v>170</v>
      </c>
      <c r="O109" t="s">
        <v>48</v>
      </c>
      <c r="P109">
        <v>161.9</v>
      </c>
      <c r="Q109" t="s">
        <v>48</v>
      </c>
      <c r="R109">
        <v>169.995</v>
      </c>
      <c r="S109" t="s">
        <v>77</v>
      </c>
      <c r="T109" t="s">
        <v>88</v>
      </c>
      <c r="U109" t="s">
        <v>77</v>
      </c>
      <c r="V109" t="s">
        <v>77</v>
      </c>
      <c r="W109" t="s">
        <v>286</v>
      </c>
      <c r="X109" t="s">
        <v>287</v>
      </c>
      <c r="Y109" t="s">
        <v>48</v>
      </c>
      <c r="Z109" t="s">
        <v>306</v>
      </c>
      <c r="AA109" t="s">
        <v>289</v>
      </c>
      <c r="AB109" t="s">
        <v>12</v>
      </c>
      <c r="AC109" t="s">
        <v>56</v>
      </c>
    </row>
    <row r="110" spans="1:29" x14ac:dyDescent="0.3">
      <c r="A110">
        <v>116</v>
      </c>
      <c r="B110" t="s">
        <v>305</v>
      </c>
      <c r="C110" t="s">
        <v>305</v>
      </c>
      <c r="D110" t="s">
        <v>301</v>
      </c>
      <c r="E110" t="s">
        <v>83</v>
      </c>
      <c r="F110">
        <v>1</v>
      </c>
      <c r="G110">
        <v>243</v>
      </c>
      <c r="H110">
        <v>0.52</v>
      </c>
      <c r="I110">
        <v>0.05</v>
      </c>
      <c r="J110">
        <v>111.09</v>
      </c>
      <c r="K110">
        <v>8.0950000000000006</v>
      </c>
      <c r="L110">
        <v>116.64450000000001</v>
      </c>
      <c r="M110">
        <v>170</v>
      </c>
      <c r="N110">
        <v>170</v>
      </c>
      <c r="O110" t="s">
        <v>48</v>
      </c>
      <c r="P110">
        <v>161.9</v>
      </c>
      <c r="Q110" t="s">
        <v>48</v>
      </c>
      <c r="R110">
        <v>169.995</v>
      </c>
      <c r="S110" t="s">
        <v>77</v>
      </c>
      <c r="T110" t="s">
        <v>88</v>
      </c>
      <c r="U110" t="s">
        <v>77</v>
      </c>
      <c r="V110" t="s">
        <v>77</v>
      </c>
      <c r="W110" t="s">
        <v>286</v>
      </c>
      <c r="X110" t="s">
        <v>287</v>
      </c>
      <c r="Y110" t="s">
        <v>48</v>
      </c>
      <c r="Z110" t="s">
        <v>307</v>
      </c>
      <c r="AA110" t="s">
        <v>289</v>
      </c>
      <c r="AB110" t="s">
        <v>12</v>
      </c>
      <c r="AC110" t="s">
        <v>56</v>
      </c>
    </row>
    <row r="111" spans="1:29" x14ac:dyDescent="0.3">
      <c r="A111">
        <v>117</v>
      </c>
      <c r="B111" t="s">
        <v>305</v>
      </c>
      <c r="C111" t="s">
        <v>305</v>
      </c>
      <c r="D111" t="s">
        <v>301</v>
      </c>
      <c r="E111" t="s">
        <v>83</v>
      </c>
      <c r="F111">
        <v>1</v>
      </c>
      <c r="G111">
        <v>243</v>
      </c>
      <c r="H111">
        <v>0.52</v>
      </c>
      <c r="I111">
        <v>0.05</v>
      </c>
      <c r="J111">
        <v>111.09</v>
      </c>
      <c r="K111">
        <v>8.0950000000000006</v>
      </c>
      <c r="L111">
        <v>116.64450000000001</v>
      </c>
      <c r="M111">
        <v>170</v>
      </c>
      <c r="N111">
        <v>170</v>
      </c>
      <c r="O111" t="s">
        <v>48</v>
      </c>
      <c r="P111">
        <v>161.9</v>
      </c>
      <c r="Q111" t="s">
        <v>48</v>
      </c>
      <c r="R111">
        <v>169.995</v>
      </c>
      <c r="S111" t="s">
        <v>77</v>
      </c>
      <c r="T111" t="s">
        <v>88</v>
      </c>
      <c r="U111" t="s">
        <v>77</v>
      </c>
      <c r="V111" t="s">
        <v>77</v>
      </c>
      <c r="W111" t="s">
        <v>286</v>
      </c>
      <c r="X111" t="s">
        <v>287</v>
      </c>
      <c r="Y111" t="s">
        <v>48</v>
      </c>
      <c r="Z111" t="s">
        <v>308</v>
      </c>
      <c r="AA111" t="s">
        <v>289</v>
      </c>
      <c r="AB111" t="s">
        <v>12</v>
      </c>
      <c r="AC111" t="s">
        <v>56</v>
      </c>
    </row>
    <row r="112" spans="1:29" x14ac:dyDescent="0.3">
      <c r="A112">
        <v>118</v>
      </c>
      <c r="B112" t="s">
        <v>305</v>
      </c>
      <c r="C112" t="s">
        <v>305</v>
      </c>
      <c r="D112" t="s">
        <v>301</v>
      </c>
      <c r="E112" t="s">
        <v>83</v>
      </c>
      <c r="F112">
        <v>1</v>
      </c>
      <c r="G112">
        <v>243</v>
      </c>
      <c r="H112">
        <v>0.52</v>
      </c>
      <c r="I112">
        <v>0.05</v>
      </c>
      <c r="J112">
        <v>111.09</v>
      </c>
      <c r="K112">
        <v>8.0950000000000006</v>
      </c>
      <c r="L112">
        <v>116.64450000000001</v>
      </c>
      <c r="M112">
        <v>170</v>
      </c>
      <c r="N112">
        <v>170</v>
      </c>
      <c r="O112" t="s">
        <v>48</v>
      </c>
      <c r="P112">
        <v>161.9</v>
      </c>
      <c r="Q112" t="s">
        <v>48</v>
      </c>
      <c r="R112">
        <v>169.995</v>
      </c>
      <c r="S112" t="s">
        <v>77</v>
      </c>
      <c r="T112" t="s">
        <v>88</v>
      </c>
      <c r="U112" t="s">
        <v>77</v>
      </c>
      <c r="V112" t="s">
        <v>77</v>
      </c>
      <c r="W112" t="s">
        <v>286</v>
      </c>
      <c r="X112" t="s">
        <v>287</v>
      </c>
      <c r="Y112" t="s">
        <v>48</v>
      </c>
      <c r="Z112" t="s">
        <v>309</v>
      </c>
      <c r="AA112" t="s">
        <v>289</v>
      </c>
      <c r="AB112" t="s">
        <v>12</v>
      </c>
      <c r="AC112" t="s">
        <v>56</v>
      </c>
    </row>
    <row r="113" spans="1:29" x14ac:dyDescent="0.3">
      <c r="A113">
        <v>119</v>
      </c>
      <c r="B113" t="s">
        <v>44</v>
      </c>
      <c r="C113" t="s">
        <v>57</v>
      </c>
      <c r="D113" t="s">
        <v>76</v>
      </c>
      <c r="E113" t="s">
        <v>47</v>
      </c>
      <c r="F113">
        <v>1</v>
      </c>
      <c r="G113">
        <v>1967</v>
      </c>
      <c r="H113">
        <v>0.5</v>
      </c>
      <c r="I113">
        <v>0.05</v>
      </c>
      <c r="J113">
        <v>936.67</v>
      </c>
      <c r="K113">
        <v>65.571428571428541</v>
      </c>
      <c r="L113">
        <v>983.50349999999992</v>
      </c>
      <c r="M113">
        <v>1377</v>
      </c>
      <c r="N113">
        <v>1377</v>
      </c>
      <c r="O113" t="s">
        <v>48</v>
      </c>
      <c r="P113">
        <v>1311.4285714285709</v>
      </c>
      <c r="Q113" t="s">
        <v>48</v>
      </c>
      <c r="R113">
        <v>1376.9999999999993</v>
      </c>
      <c r="S113" t="s">
        <v>310</v>
      </c>
      <c r="T113" t="s">
        <v>88</v>
      </c>
      <c r="U113" t="s">
        <v>311</v>
      </c>
      <c r="V113" t="s">
        <v>311</v>
      </c>
      <c r="W113" t="s">
        <v>312</v>
      </c>
      <c r="X113" t="s">
        <v>313</v>
      </c>
      <c r="Y113" t="s">
        <v>48</v>
      </c>
      <c r="Z113" t="s">
        <v>314</v>
      </c>
      <c r="AA113" t="s">
        <v>289</v>
      </c>
      <c r="AB113" t="s">
        <v>12</v>
      </c>
      <c r="AC113" t="s">
        <v>56</v>
      </c>
    </row>
    <row r="114" spans="1:29" x14ac:dyDescent="0.3">
      <c r="A114">
        <v>120</v>
      </c>
      <c r="B114" t="s">
        <v>44</v>
      </c>
      <c r="C114" t="s">
        <v>57</v>
      </c>
      <c r="D114" t="s">
        <v>46</v>
      </c>
      <c r="E114" t="s">
        <v>83</v>
      </c>
      <c r="F114">
        <v>1</v>
      </c>
      <c r="G114">
        <v>1967</v>
      </c>
      <c r="H114">
        <v>0.52</v>
      </c>
      <c r="I114">
        <v>0.05</v>
      </c>
      <c r="J114">
        <v>899.2</v>
      </c>
      <c r="K114">
        <v>65.571428571428541</v>
      </c>
      <c r="L114">
        <v>944.16000000000008</v>
      </c>
      <c r="M114">
        <v>1377</v>
      </c>
      <c r="N114">
        <v>1377</v>
      </c>
      <c r="O114" t="s">
        <v>48</v>
      </c>
      <c r="P114">
        <v>1311.4285714285709</v>
      </c>
      <c r="Q114" t="s">
        <v>48</v>
      </c>
      <c r="R114">
        <v>1376.9999999999993</v>
      </c>
      <c r="S114" t="s">
        <v>310</v>
      </c>
      <c r="T114" t="s">
        <v>88</v>
      </c>
      <c r="U114" t="s">
        <v>311</v>
      </c>
      <c r="V114" t="s">
        <v>311</v>
      </c>
      <c r="W114" t="s">
        <v>312</v>
      </c>
      <c r="X114" t="s">
        <v>313</v>
      </c>
      <c r="Y114" t="s">
        <v>48</v>
      </c>
      <c r="Z114" t="s">
        <v>315</v>
      </c>
      <c r="AA114" t="s">
        <v>289</v>
      </c>
      <c r="AB114" t="s">
        <v>12</v>
      </c>
      <c r="AC114" t="s">
        <v>56</v>
      </c>
    </row>
    <row r="115" spans="1:29" x14ac:dyDescent="0.3">
      <c r="A115">
        <v>121</v>
      </c>
      <c r="B115" t="s">
        <v>68</v>
      </c>
      <c r="C115" t="s">
        <v>205</v>
      </c>
      <c r="D115" t="s">
        <v>65</v>
      </c>
      <c r="E115" t="s">
        <v>47</v>
      </c>
      <c r="F115">
        <v>1</v>
      </c>
      <c r="G115">
        <v>8010</v>
      </c>
      <c r="H115">
        <v>0.5</v>
      </c>
      <c r="I115">
        <v>0.18</v>
      </c>
      <c r="J115">
        <v>3394.07</v>
      </c>
      <c r="K115">
        <v>672.02531999999997</v>
      </c>
      <c r="L115">
        <v>4005.0026000000003</v>
      </c>
      <c r="M115">
        <v>4405.5</v>
      </c>
      <c r="N115">
        <v>4405.5</v>
      </c>
      <c r="O115" t="s">
        <v>48</v>
      </c>
      <c r="P115">
        <v>3733.4740000000002</v>
      </c>
      <c r="Q115" t="s">
        <v>48</v>
      </c>
      <c r="R115">
        <v>4405.4993199999999</v>
      </c>
      <c r="S115" t="s">
        <v>316</v>
      </c>
      <c r="T115" t="s">
        <v>88</v>
      </c>
      <c r="U115" t="s">
        <v>219</v>
      </c>
      <c r="V115" t="s">
        <v>219</v>
      </c>
      <c r="W115" t="s">
        <v>317</v>
      </c>
      <c r="X115" t="s">
        <v>318</v>
      </c>
      <c r="Y115" t="s">
        <v>48</v>
      </c>
      <c r="Z115" t="s">
        <v>319</v>
      </c>
      <c r="AA115" t="s">
        <v>289</v>
      </c>
      <c r="AB115" t="s">
        <v>12</v>
      </c>
      <c r="AC115" t="s">
        <v>56</v>
      </c>
    </row>
    <row r="116" spans="1:29" x14ac:dyDescent="0.3">
      <c r="A116">
        <v>122</v>
      </c>
      <c r="B116" t="s">
        <v>68</v>
      </c>
      <c r="C116" t="s">
        <v>69</v>
      </c>
      <c r="D116" t="s">
        <v>99</v>
      </c>
      <c r="E116" t="s">
        <v>83</v>
      </c>
      <c r="F116">
        <v>1</v>
      </c>
      <c r="G116">
        <v>9000</v>
      </c>
      <c r="H116">
        <v>0.52</v>
      </c>
      <c r="I116">
        <v>0.18</v>
      </c>
      <c r="J116">
        <v>3661.02</v>
      </c>
      <c r="K116">
        <f>+P119*18%</f>
        <v>533.89799999999991</v>
      </c>
      <c r="L116">
        <v>4320.0036</v>
      </c>
      <c r="M116">
        <v>0</v>
      </c>
      <c r="N116">
        <v>0</v>
      </c>
      <c r="O116" t="s">
        <v>48</v>
      </c>
      <c r="P116">
        <f>+N119*0.847457627118644</f>
        <v>2966.101694915254</v>
      </c>
      <c r="Q116" t="s">
        <v>48</v>
      </c>
      <c r="R116" t="e">
        <f>+P119+Q119</f>
        <v>#VALUE!</v>
      </c>
      <c r="S116" t="s">
        <v>320</v>
      </c>
      <c r="T116" t="s">
        <v>50</v>
      </c>
      <c r="U116" t="s">
        <v>61</v>
      </c>
      <c r="V116" t="s">
        <v>219</v>
      </c>
      <c r="W116" t="s">
        <v>317</v>
      </c>
      <c r="X116" t="s">
        <v>53</v>
      </c>
      <c r="Y116" t="s">
        <v>48</v>
      </c>
      <c r="Z116" t="s">
        <v>321</v>
      </c>
      <c r="AA116" t="s">
        <v>289</v>
      </c>
      <c r="AB116" t="s">
        <v>12</v>
      </c>
      <c r="AC116" t="s">
        <v>56</v>
      </c>
    </row>
    <row r="117" spans="1:29" x14ac:dyDescent="0.3">
      <c r="A117">
        <v>123</v>
      </c>
      <c r="B117" t="s">
        <v>44</v>
      </c>
      <c r="C117" t="s">
        <v>75</v>
      </c>
      <c r="D117" t="s">
        <v>117</v>
      </c>
      <c r="E117" t="s">
        <v>47</v>
      </c>
      <c r="F117">
        <v>1</v>
      </c>
      <c r="G117">
        <v>1967</v>
      </c>
      <c r="H117">
        <v>0.5</v>
      </c>
      <c r="I117">
        <v>0.05</v>
      </c>
      <c r="J117">
        <v>936.67</v>
      </c>
      <c r="K117">
        <v>56.2</v>
      </c>
      <c r="L117">
        <v>983.50349999999992</v>
      </c>
      <c r="M117">
        <v>1180.2</v>
      </c>
      <c r="N117">
        <v>1180.2</v>
      </c>
      <c r="O117" t="s">
        <v>48</v>
      </c>
      <c r="P117">
        <v>1124</v>
      </c>
      <c r="Q117" t="s">
        <v>48</v>
      </c>
      <c r="R117">
        <v>1180.2</v>
      </c>
      <c r="S117" t="s">
        <v>228</v>
      </c>
      <c r="T117" t="s">
        <v>50</v>
      </c>
      <c r="U117" t="s">
        <v>228</v>
      </c>
      <c r="V117" t="s">
        <v>228</v>
      </c>
      <c r="W117" t="s">
        <v>229</v>
      </c>
      <c r="X117" t="s">
        <v>48</v>
      </c>
      <c r="Y117" t="s">
        <v>48</v>
      </c>
      <c r="Z117" t="s">
        <v>322</v>
      </c>
      <c r="AA117" t="s">
        <v>289</v>
      </c>
      <c r="AB117" t="s">
        <v>12</v>
      </c>
      <c r="AC117" t="s">
        <v>56</v>
      </c>
    </row>
    <row r="118" spans="1:29" x14ac:dyDescent="0.3">
      <c r="A118">
        <v>124</v>
      </c>
      <c r="B118" t="s">
        <v>68</v>
      </c>
      <c r="C118" t="s">
        <v>202</v>
      </c>
      <c r="D118" t="s">
        <v>65</v>
      </c>
      <c r="E118" t="s">
        <v>83</v>
      </c>
      <c r="F118">
        <v>1</v>
      </c>
      <c r="G118">
        <v>8010</v>
      </c>
      <c r="H118">
        <v>0.54</v>
      </c>
      <c r="I118">
        <v>0.18</v>
      </c>
      <c r="J118">
        <v>3122.54</v>
      </c>
      <c r="K118">
        <v>794.21219999999994</v>
      </c>
      <c r="L118">
        <v>3684.5972000000002</v>
      </c>
      <c r="M118">
        <v>5206.5</v>
      </c>
      <c r="N118">
        <v>5206.5</v>
      </c>
      <c r="O118" t="s">
        <v>48</v>
      </c>
      <c r="P118">
        <v>4412.29</v>
      </c>
      <c r="Q118" t="s">
        <v>48</v>
      </c>
      <c r="R118">
        <v>5206.5021999999999</v>
      </c>
      <c r="S118" t="s">
        <v>323</v>
      </c>
      <c r="T118" t="s">
        <v>88</v>
      </c>
      <c r="U118" t="s">
        <v>324</v>
      </c>
      <c r="V118" t="s">
        <v>324</v>
      </c>
      <c r="W118" t="s">
        <v>325</v>
      </c>
      <c r="X118" t="s">
        <v>326</v>
      </c>
      <c r="Y118" t="s">
        <v>327</v>
      </c>
      <c r="Z118" t="s">
        <v>328</v>
      </c>
      <c r="AA118" t="s">
        <v>289</v>
      </c>
      <c r="AB118" t="s">
        <v>12</v>
      </c>
      <c r="AC118" t="s">
        <v>56</v>
      </c>
    </row>
    <row r="119" spans="1:29" x14ac:dyDescent="0.3">
      <c r="A119">
        <v>125</v>
      </c>
      <c r="B119" t="s">
        <v>68</v>
      </c>
      <c r="C119" t="s">
        <v>114</v>
      </c>
      <c r="D119" t="s">
        <v>117</v>
      </c>
      <c r="E119" t="s">
        <v>47</v>
      </c>
      <c r="F119">
        <v>1</v>
      </c>
      <c r="G119">
        <v>5000</v>
      </c>
      <c r="H119">
        <v>0.5</v>
      </c>
      <c r="I119">
        <v>0.18</v>
      </c>
      <c r="J119">
        <v>2118.65</v>
      </c>
      <c r="K119">
        <v>533.89799999999991</v>
      </c>
      <c r="L119">
        <v>2500.0070000000001</v>
      </c>
      <c r="M119">
        <v>3500</v>
      </c>
      <c r="N119">
        <v>3500</v>
      </c>
      <c r="O119" t="s">
        <v>48</v>
      </c>
      <c r="P119">
        <v>2966.1</v>
      </c>
      <c r="Q119" t="s">
        <v>48</v>
      </c>
      <c r="R119">
        <v>3499.9979999999996</v>
      </c>
      <c r="S119" t="s">
        <v>77</v>
      </c>
      <c r="T119" t="s">
        <v>88</v>
      </c>
      <c r="U119" t="s">
        <v>77</v>
      </c>
      <c r="V119" t="s">
        <v>77</v>
      </c>
      <c r="W119" t="s">
        <v>286</v>
      </c>
      <c r="X119" t="s">
        <v>287</v>
      </c>
      <c r="Y119" t="s">
        <v>48</v>
      </c>
      <c r="Z119" t="s">
        <v>329</v>
      </c>
      <c r="AA119" t="s">
        <v>330</v>
      </c>
      <c r="AB119" t="s">
        <v>12</v>
      </c>
      <c r="AC119" t="s">
        <v>56</v>
      </c>
    </row>
    <row r="120" spans="1:29" x14ac:dyDescent="0.3">
      <c r="A120">
        <v>126</v>
      </c>
      <c r="B120" t="s">
        <v>44</v>
      </c>
      <c r="C120" t="s">
        <v>64</v>
      </c>
      <c r="D120" t="s">
        <v>76</v>
      </c>
      <c r="E120" t="s">
        <v>47</v>
      </c>
      <c r="F120">
        <v>1</v>
      </c>
      <c r="G120">
        <v>4500</v>
      </c>
      <c r="H120">
        <v>0.5</v>
      </c>
      <c r="I120">
        <v>0.18</v>
      </c>
      <c r="J120">
        <v>1906.78</v>
      </c>
      <c r="K120">
        <v>411.86440677966095</v>
      </c>
      <c r="L120">
        <v>2250.0003999999999</v>
      </c>
      <c r="M120">
        <v>2700</v>
      </c>
      <c r="N120">
        <v>2700</v>
      </c>
      <c r="O120" t="s">
        <v>48</v>
      </c>
      <c r="P120">
        <v>2288.1355932203387</v>
      </c>
      <c r="Q120" t="s">
        <v>48</v>
      </c>
      <c r="R120">
        <v>2699.9999999999995</v>
      </c>
      <c r="S120" t="s">
        <v>198</v>
      </c>
      <c r="T120" t="s">
        <v>88</v>
      </c>
      <c r="U120" t="s">
        <v>198</v>
      </c>
      <c r="V120" t="s">
        <v>198</v>
      </c>
      <c r="W120" t="s">
        <v>331</v>
      </c>
      <c r="X120" t="s">
        <v>332</v>
      </c>
      <c r="Y120" t="s">
        <v>48</v>
      </c>
      <c r="Z120" t="s">
        <v>333</v>
      </c>
      <c r="AA120" t="s">
        <v>330</v>
      </c>
      <c r="AB120" t="s">
        <v>12</v>
      </c>
      <c r="AC120" t="s">
        <v>56</v>
      </c>
    </row>
    <row r="121" spans="1:29" x14ac:dyDescent="0.3">
      <c r="A121">
        <v>127</v>
      </c>
      <c r="B121" t="s">
        <v>68</v>
      </c>
      <c r="C121" t="s">
        <v>69</v>
      </c>
      <c r="D121" t="s">
        <v>117</v>
      </c>
      <c r="E121" t="s">
        <v>83</v>
      </c>
      <c r="F121">
        <v>1</v>
      </c>
      <c r="G121">
        <v>9000</v>
      </c>
      <c r="H121">
        <v>0.52</v>
      </c>
      <c r="I121">
        <v>0.18</v>
      </c>
      <c r="J121">
        <v>3661.0160000000001</v>
      </c>
      <c r="K121">
        <v>785.59379999999999</v>
      </c>
      <c r="L121">
        <v>4319.9988800000001</v>
      </c>
      <c r="M121">
        <v>5150</v>
      </c>
      <c r="N121">
        <v>5150</v>
      </c>
      <c r="O121" t="s">
        <v>48</v>
      </c>
      <c r="P121">
        <v>4364.41</v>
      </c>
      <c r="Q121" t="s">
        <v>48</v>
      </c>
      <c r="R121">
        <v>5150.0037999999995</v>
      </c>
      <c r="S121" t="s">
        <v>316</v>
      </c>
      <c r="T121" t="s">
        <v>88</v>
      </c>
      <c r="U121" t="s">
        <v>219</v>
      </c>
      <c r="V121" t="s">
        <v>219</v>
      </c>
      <c r="W121" t="s">
        <v>317</v>
      </c>
      <c r="X121" t="s">
        <v>334</v>
      </c>
      <c r="Y121" t="s">
        <v>48</v>
      </c>
      <c r="Z121" t="s">
        <v>335</v>
      </c>
      <c r="AA121" t="s">
        <v>330</v>
      </c>
      <c r="AB121" t="s">
        <v>12</v>
      </c>
      <c r="AC121" t="s">
        <v>56</v>
      </c>
    </row>
    <row r="122" spans="1:29" x14ac:dyDescent="0.3">
      <c r="A122">
        <v>128</v>
      </c>
      <c r="B122" t="s">
        <v>68</v>
      </c>
      <c r="C122" t="s">
        <v>69</v>
      </c>
      <c r="D122" t="s">
        <v>65</v>
      </c>
      <c r="E122" t="s">
        <v>83</v>
      </c>
      <c r="F122">
        <v>1</v>
      </c>
      <c r="G122">
        <v>9000</v>
      </c>
      <c r="H122">
        <v>0.52</v>
      </c>
      <c r="I122">
        <v>0.18</v>
      </c>
      <c r="J122">
        <v>3661.0160000000001</v>
      </c>
      <c r="K122">
        <v>641.69999999999993</v>
      </c>
      <c r="L122">
        <v>4319.9988800000001</v>
      </c>
      <c r="M122">
        <v>4207</v>
      </c>
      <c r="N122">
        <v>4207</v>
      </c>
      <c r="O122" t="s">
        <v>48</v>
      </c>
      <c r="P122">
        <v>3565</v>
      </c>
      <c r="Q122" t="s">
        <v>48</v>
      </c>
      <c r="R122">
        <v>4206.7</v>
      </c>
      <c r="S122" t="s">
        <v>336</v>
      </c>
      <c r="T122" t="s">
        <v>88</v>
      </c>
      <c r="U122" t="s">
        <v>320</v>
      </c>
      <c r="V122" t="s">
        <v>320</v>
      </c>
      <c r="W122" t="s">
        <v>337</v>
      </c>
      <c r="X122" t="s">
        <v>338</v>
      </c>
      <c r="Y122" t="s">
        <v>339</v>
      </c>
      <c r="Z122" t="s">
        <v>340</v>
      </c>
      <c r="AA122" t="s">
        <v>330</v>
      </c>
      <c r="AB122" t="s">
        <v>12</v>
      </c>
      <c r="AC122" t="s">
        <v>56</v>
      </c>
    </row>
    <row r="123" spans="1:29" x14ac:dyDescent="0.3">
      <c r="A123">
        <v>129</v>
      </c>
      <c r="B123" t="s">
        <v>44</v>
      </c>
      <c r="C123" t="s">
        <v>64</v>
      </c>
      <c r="D123" t="s">
        <v>59</v>
      </c>
      <c r="E123" t="s">
        <v>83</v>
      </c>
      <c r="F123">
        <v>1</v>
      </c>
      <c r="G123">
        <v>4500</v>
      </c>
      <c r="H123">
        <v>0.52</v>
      </c>
      <c r="I123">
        <v>0.05</v>
      </c>
      <c r="J123">
        <v>2057.1419999999998</v>
      </c>
      <c r="K123">
        <v>150</v>
      </c>
      <c r="L123">
        <v>2159.9991</v>
      </c>
      <c r="M123">
        <v>3150</v>
      </c>
      <c r="N123">
        <v>3150</v>
      </c>
      <c r="O123" t="s">
        <v>48</v>
      </c>
      <c r="P123">
        <v>3000</v>
      </c>
      <c r="Q123" t="s">
        <v>48</v>
      </c>
      <c r="R123">
        <v>3150</v>
      </c>
      <c r="S123" t="s">
        <v>341</v>
      </c>
      <c r="T123" t="s">
        <v>88</v>
      </c>
      <c r="U123" t="s">
        <v>341</v>
      </c>
      <c r="V123" t="s">
        <v>219</v>
      </c>
      <c r="W123" t="s">
        <v>317</v>
      </c>
      <c r="X123" t="s">
        <v>318</v>
      </c>
      <c r="Y123" t="s">
        <v>48</v>
      </c>
      <c r="Z123" t="s">
        <v>342</v>
      </c>
      <c r="AA123" t="s">
        <v>330</v>
      </c>
      <c r="AB123" t="s">
        <v>12</v>
      </c>
      <c r="AC123" t="s">
        <v>56</v>
      </c>
    </row>
    <row r="124" spans="1:29" x14ac:dyDescent="0.3">
      <c r="A124">
        <v>130</v>
      </c>
      <c r="B124" t="s">
        <v>68</v>
      </c>
      <c r="C124" t="s">
        <v>114</v>
      </c>
      <c r="D124" t="s">
        <v>86</v>
      </c>
      <c r="E124" t="s">
        <v>83</v>
      </c>
      <c r="F124">
        <v>1</v>
      </c>
      <c r="G124">
        <v>5000</v>
      </c>
      <c r="H124">
        <v>0.52</v>
      </c>
      <c r="I124">
        <v>0.05</v>
      </c>
      <c r="J124">
        <v>4761.8999999999996</v>
      </c>
      <c r="K124">
        <v>142.857</v>
      </c>
      <c r="L124">
        <v>4999.9949999999999</v>
      </c>
      <c r="M124">
        <v>3000</v>
      </c>
      <c r="N124">
        <v>3000</v>
      </c>
      <c r="O124" t="s">
        <v>48</v>
      </c>
      <c r="P124">
        <v>2857.14</v>
      </c>
      <c r="Q124" t="s">
        <v>48</v>
      </c>
      <c r="R124">
        <v>2999.9969999999998</v>
      </c>
      <c r="S124" t="s">
        <v>214</v>
      </c>
      <c r="T124" t="s">
        <v>88</v>
      </c>
      <c r="U124" t="s">
        <v>343</v>
      </c>
      <c r="V124" t="s">
        <v>214</v>
      </c>
      <c r="W124" t="s">
        <v>344</v>
      </c>
      <c r="X124" t="s">
        <v>345</v>
      </c>
      <c r="Y124" t="s">
        <v>48</v>
      </c>
      <c r="Z124" t="s">
        <v>346</v>
      </c>
      <c r="AA124" t="s">
        <v>330</v>
      </c>
      <c r="AB124" t="s">
        <v>12</v>
      </c>
      <c r="AC124" t="s">
        <v>56</v>
      </c>
    </row>
    <row r="125" spans="1:29" x14ac:dyDescent="0.3">
      <c r="A125">
        <v>131</v>
      </c>
      <c r="B125" t="s">
        <v>68</v>
      </c>
      <c r="C125" t="s">
        <v>114</v>
      </c>
      <c r="D125" t="s">
        <v>59</v>
      </c>
      <c r="E125" t="s">
        <v>83</v>
      </c>
      <c r="F125">
        <v>1</v>
      </c>
      <c r="G125">
        <v>5000</v>
      </c>
      <c r="H125">
        <v>0.52</v>
      </c>
      <c r="I125">
        <v>0.05</v>
      </c>
      <c r="J125">
        <v>4761.8999999999996</v>
      </c>
      <c r="K125">
        <v>142.857</v>
      </c>
      <c r="L125">
        <v>4999.9949999999999</v>
      </c>
      <c r="M125">
        <v>3000</v>
      </c>
      <c r="N125">
        <v>3000</v>
      </c>
      <c r="O125" t="s">
        <v>48</v>
      </c>
      <c r="P125">
        <v>2857.14</v>
      </c>
      <c r="Q125" t="s">
        <v>48</v>
      </c>
      <c r="R125">
        <v>2999.9969999999998</v>
      </c>
      <c r="S125" t="s">
        <v>214</v>
      </c>
      <c r="T125" t="s">
        <v>88</v>
      </c>
      <c r="U125" t="s">
        <v>343</v>
      </c>
      <c r="V125" t="s">
        <v>214</v>
      </c>
      <c r="W125" t="s">
        <v>344</v>
      </c>
      <c r="X125" t="s">
        <v>345</v>
      </c>
      <c r="Y125" t="s">
        <v>48</v>
      </c>
      <c r="Z125" t="s">
        <v>347</v>
      </c>
      <c r="AA125" t="s">
        <v>330</v>
      </c>
      <c r="AB125" t="s">
        <v>12</v>
      </c>
      <c r="AC125" t="s">
        <v>56</v>
      </c>
    </row>
    <row r="126" spans="1:29" x14ac:dyDescent="0.3">
      <c r="A126">
        <v>132</v>
      </c>
      <c r="B126" t="s">
        <v>68</v>
      </c>
      <c r="C126" t="s">
        <v>114</v>
      </c>
      <c r="D126" t="s">
        <v>59</v>
      </c>
      <c r="E126" t="s">
        <v>83</v>
      </c>
      <c r="F126">
        <v>1</v>
      </c>
      <c r="G126">
        <v>5000</v>
      </c>
      <c r="H126">
        <v>0.52</v>
      </c>
      <c r="I126">
        <v>0.05</v>
      </c>
      <c r="J126">
        <v>4761.8999999999996</v>
      </c>
      <c r="K126">
        <v>142.857</v>
      </c>
      <c r="L126">
        <v>4999.9949999999999</v>
      </c>
      <c r="M126">
        <v>3000</v>
      </c>
      <c r="N126">
        <v>3000</v>
      </c>
      <c r="O126" t="s">
        <v>48</v>
      </c>
      <c r="P126">
        <v>2857.14</v>
      </c>
      <c r="Q126" t="s">
        <v>48</v>
      </c>
      <c r="R126">
        <v>2999.9969999999998</v>
      </c>
      <c r="S126" t="s">
        <v>214</v>
      </c>
      <c r="T126" t="s">
        <v>88</v>
      </c>
      <c r="U126" t="s">
        <v>343</v>
      </c>
      <c r="V126" t="s">
        <v>214</v>
      </c>
      <c r="W126" t="s">
        <v>344</v>
      </c>
      <c r="X126" t="s">
        <v>345</v>
      </c>
      <c r="Y126" t="s">
        <v>48</v>
      </c>
      <c r="Z126" t="s">
        <v>348</v>
      </c>
      <c r="AA126" t="s">
        <v>349</v>
      </c>
      <c r="AB126" t="s">
        <v>12</v>
      </c>
      <c r="AC126" t="s">
        <v>56</v>
      </c>
    </row>
    <row r="127" spans="1:29" x14ac:dyDescent="0.3">
      <c r="A127">
        <v>133</v>
      </c>
      <c r="B127" t="s">
        <v>232</v>
      </c>
      <c r="C127" t="s">
        <v>297</v>
      </c>
      <c r="D127" t="s">
        <v>59</v>
      </c>
      <c r="E127" t="s">
        <v>47</v>
      </c>
      <c r="F127">
        <v>1</v>
      </c>
      <c r="G127">
        <v>6500</v>
      </c>
      <c r="H127">
        <v>0.5</v>
      </c>
      <c r="I127">
        <v>0.18</v>
      </c>
      <c r="J127">
        <v>5508.47</v>
      </c>
      <c r="K127">
        <v>594.9162</v>
      </c>
      <c r="L127">
        <v>6499.9946</v>
      </c>
      <c r="M127">
        <v>3900</v>
      </c>
      <c r="N127">
        <v>3900</v>
      </c>
      <c r="O127" t="s">
        <v>48</v>
      </c>
      <c r="P127">
        <v>3305.09</v>
      </c>
      <c r="Q127" t="s">
        <v>48</v>
      </c>
      <c r="R127">
        <v>3900.0062000000003</v>
      </c>
      <c r="S127" t="s">
        <v>214</v>
      </c>
      <c r="T127" t="s">
        <v>88</v>
      </c>
      <c r="U127" t="s">
        <v>343</v>
      </c>
      <c r="V127" t="s">
        <v>214</v>
      </c>
      <c r="W127" t="s">
        <v>344</v>
      </c>
      <c r="X127" t="s">
        <v>345</v>
      </c>
      <c r="Y127" t="s">
        <v>48</v>
      </c>
      <c r="Z127" t="s">
        <v>350</v>
      </c>
      <c r="AA127" t="s">
        <v>349</v>
      </c>
      <c r="AB127" t="s">
        <v>12</v>
      </c>
      <c r="AC127" t="s">
        <v>56</v>
      </c>
    </row>
    <row r="128" spans="1:29" x14ac:dyDescent="0.3">
      <c r="A128">
        <v>139</v>
      </c>
      <c r="B128" t="s">
        <v>44</v>
      </c>
      <c r="C128" t="s">
        <v>64</v>
      </c>
      <c r="D128" t="s">
        <v>59</v>
      </c>
      <c r="E128" t="s">
        <v>83</v>
      </c>
      <c r="F128">
        <v>1</v>
      </c>
      <c r="G128">
        <v>4500</v>
      </c>
      <c r="H128">
        <v>0.52</v>
      </c>
      <c r="I128">
        <v>0.05</v>
      </c>
      <c r="J128">
        <v>2057.1419999999998</v>
      </c>
      <c r="K128">
        <v>150</v>
      </c>
      <c r="L128">
        <v>2159.9991</v>
      </c>
      <c r="M128">
        <v>3150</v>
      </c>
      <c r="N128">
        <v>3150</v>
      </c>
      <c r="O128" t="s">
        <v>48</v>
      </c>
      <c r="P128">
        <v>3000</v>
      </c>
      <c r="Q128" t="s">
        <v>48</v>
      </c>
      <c r="R128">
        <v>3150</v>
      </c>
      <c r="S128" t="s">
        <v>351</v>
      </c>
      <c r="T128" t="s">
        <v>88</v>
      </c>
      <c r="U128" t="s">
        <v>351</v>
      </c>
      <c r="V128" t="s">
        <v>351</v>
      </c>
      <c r="W128" t="s">
        <v>131</v>
      </c>
      <c r="X128" t="s">
        <v>352</v>
      </c>
      <c r="Y128" t="s">
        <v>48</v>
      </c>
      <c r="Z128" t="s">
        <v>353</v>
      </c>
      <c r="AA128" t="s">
        <v>354</v>
      </c>
      <c r="AB128" t="s">
        <v>12</v>
      </c>
      <c r="AC128" t="s">
        <v>56</v>
      </c>
    </row>
    <row r="129" spans="1:29" x14ac:dyDescent="0.3">
      <c r="A129">
        <v>140</v>
      </c>
      <c r="B129" t="s">
        <v>44</v>
      </c>
      <c r="C129" t="s">
        <v>64</v>
      </c>
      <c r="D129" t="s">
        <v>59</v>
      </c>
      <c r="E129" t="s">
        <v>83</v>
      </c>
      <c r="F129">
        <v>1</v>
      </c>
      <c r="G129">
        <v>4500</v>
      </c>
      <c r="H129">
        <v>0.52</v>
      </c>
      <c r="I129">
        <v>0.05</v>
      </c>
      <c r="J129">
        <v>2057.1419999999998</v>
      </c>
      <c r="K129">
        <v>128.57149999999999</v>
      </c>
      <c r="L129">
        <v>2159.9991</v>
      </c>
      <c r="M129">
        <v>2700</v>
      </c>
      <c r="N129">
        <v>2700</v>
      </c>
      <c r="O129" t="s">
        <v>48</v>
      </c>
      <c r="P129">
        <v>2571.4299999999998</v>
      </c>
      <c r="Q129" t="s">
        <v>48</v>
      </c>
      <c r="R129">
        <v>2700.0014999999999</v>
      </c>
      <c r="S129" t="s">
        <v>355</v>
      </c>
      <c r="T129" t="s">
        <v>88</v>
      </c>
      <c r="U129" t="s">
        <v>320</v>
      </c>
      <c r="V129" t="s">
        <v>320</v>
      </c>
      <c r="W129" t="s">
        <v>337</v>
      </c>
      <c r="X129" t="s">
        <v>356</v>
      </c>
      <c r="Y129" t="s">
        <v>48</v>
      </c>
      <c r="Z129" t="s">
        <v>357</v>
      </c>
      <c r="AA129" t="s">
        <v>354</v>
      </c>
      <c r="AB129" t="s">
        <v>12</v>
      </c>
      <c r="AC129" t="s">
        <v>56</v>
      </c>
    </row>
    <row r="130" spans="1:29" x14ac:dyDescent="0.3">
      <c r="A130">
        <v>141</v>
      </c>
      <c r="B130" t="s">
        <v>68</v>
      </c>
      <c r="C130" t="s">
        <v>69</v>
      </c>
      <c r="D130" t="s">
        <v>59</v>
      </c>
      <c r="E130" t="s">
        <v>83</v>
      </c>
      <c r="F130">
        <v>1</v>
      </c>
      <c r="G130">
        <v>9000</v>
      </c>
      <c r="H130">
        <v>0.52</v>
      </c>
      <c r="I130">
        <v>0.18</v>
      </c>
      <c r="J130">
        <v>3661.0160000000001</v>
      </c>
      <c r="K130">
        <v>641.69999999999993</v>
      </c>
      <c r="L130">
        <v>4319.9988800000001</v>
      </c>
      <c r="M130">
        <v>4207</v>
      </c>
      <c r="N130">
        <v>4207</v>
      </c>
      <c r="O130" t="s">
        <v>48</v>
      </c>
      <c r="P130">
        <v>3565</v>
      </c>
      <c r="Q130" t="s">
        <v>48</v>
      </c>
      <c r="R130">
        <v>4206.7</v>
      </c>
      <c r="S130" t="s">
        <v>336</v>
      </c>
      <c r="T130" t="s">
        <v>88</v>
      </c>
      <c r="U130" t="s">
        <v>320</v>
      </c>
      <c r="V130" t="s">
        <v>320</v>
      </c>
      <c r="W130" t="s">
        <v>337</v>
      </c>
      <c r="X130" t="s">
        <v>358</v>
      </c>
      <c r="Y130" t="s">
        <v>339</v>
      </c>
      <c r="Z130" t="s">
        <v>359</v>
      </c>
      <c r="AA130" t="s">
        <v>360</v>
      </c>
      <c r="AB130" t="s">
        <v>12</v>
      </c>
      <c r="AC130" t="s">
        <v>56</v>
      </c>
    </row>
    <row r="131" spans="1:29" x14ac:dyDescent="0.3">
      <c r="A131">
        <v>142</v>
      </c>
      <c r="B131" t="s">
        <v>44</v>
      </c>
      <c r="C131" t="s">
        <v>75</v>
      </c>
      <c r="D131" t="s">
        <v>99</v>
      </c>
      <c r="E131" t="s">
        <v>47</v>
      </c>
      <c r="F131">
        <v>1</v>
      </c>
      <c r="G131">
        <v>1967</v>
      </c>
      <c r="H131">
        <v>0.5</v>
      </c>
      <c r="I131">
        <v>0.05</v>
      </c>
      <c r="J131">
        <v>936.67</v>
      </c>
      <c r="K131">
        <v>56.2</v>
      </c>
      <c r="L131">
        <v>983.50349999999992</v>
      </c>
      <c r="M131">
        <v>1180.2</v>
      </c>
      <c r="N131">
        <v>1180.2</v>
      </c>
      <c r="O131" t="s">
        <v>48</v>
      </c>
      <c r="P131">
        <v>1124</v>
      </c>
      <c r="Q131" t="s">
        <v>48</v>
      </c>
      <c r="R131">
        <v>1180.2</v>
      </c>
      <c r="S131" t="s">
        <v>336</v>
      </c>
      <c r="T131" t="s">
        <v>88</v>
      </c>
      <c r="U131" t="s">
        <v>320</v>
      </c>
      <c r="V131" t="s">
        <v>320</v>
      </c>
      <c r="W131" t="s">
        <v>337</v>
      </c>
      <c r="X131" t="s">
        <v>361</v>
      </c>
      <c r="Y131" t="s">
        <v>48</v>
      </c>
      <c r="Z131" t="s">
        <v>362</v>
      </c>
      <c r="AA131" t="s">
        <v>360</v>
      </c>
      <c r="AB131" t="s">
        <v>12</v>
      </c>
      <c r="AC131" t="s">
        <v>56</v>
      </c>
    </row>
    <row r="132" spans="1:29" x14ac:dyDescent="0.3">
      <c r="A132">
        <v>143</v>
      </c>
      <c r="B132" t="s">
        <v>44</v>
      </c>
      <c r="C132" t="s">
        <v>75</v>
      </c>
      <c r="D132" t="s">
        <v>65</v>
      </c>
      <c r="E132" t="s">
        <v>47</v>
      </c>
      <c r="F132">
        <v>1</v>
      </c>
      <c r="G132">
        <v>1967</v>
      </c>
      <c r="H132">
        <v>0.5</v>
      </c>
      <c r="I132">
        <v>0.05</v>
      </c>
      <c r="J132">
        <v>936.67</v>
      </c>
      <c r="K132">
        <v>56.190476190476176</v>
      </c>
      <c r="L132">
        <v>983.50349999999992</v>
      </c>
      <c r="M132">
        <v>1180</v>
      </c>
      <c r="N132">
        <v>1180</v>
      </c>
      <c r="O132" t="s">
        <v>48</v>
      </c>
      <c r="P132">
        <v>1123.8095238095234</v>
      </c>
      <c r="Q132" t="s">
        <v>48</v>
      </c>
      <c r="R132">
        <v>1179.9999999999995</v>
      </c>
      <c r="S132" t="s">
        <v>363</v>
      </c>
      <c r="T132" t="s">
        <v>50</v>
      </c>
      <c r="U132" t="s">
        <v>228</v>
      </c>
      <c r="V132" t="s">
        <v>228</v>
      </c>
      <c r="W132" t="s">
        <v>229</v>
      </c>
      <c r="X132" t="s">
        <v>48</v>
      </c>
      <c r="Y132" t="s">
        <v>48</v>
      </c>
      <c r="Z132" t="s">
        <v>364</v>
      </c>
      <c r="AA132" t="s">
        <v>360</v>
      </c>
      <c r="AB132" t="s">
        <v>12</v>
      </c>
      <c r="AC132" t="s">
        <v>56</v>
      </c>
    </row>
    <row r="133" spans="1:29" x14ac:dyDescent="0.3">
      <c r="A133">
        <v>144</v>
      </c>
      <c r="B133" t="s">
        <v>68</v>
      </c>
      <c r="C133" t="s">
        <v>69</v>
      </c>
      <c r="D133" t="s">
        <v>65</v>
      </c>
      <c r="E133" t="s">
        <v>83</v>
      </c>
      <c r="F133">
        <v>1</v>
      </c>
      <c r="G133">
        <v>9000</v>
      </c>
      <c r="H133">
        <v>0.52</v>
      </c>
      <c r="I133">
        <v>0.18</v>
      </c>
      <c r="J133">
        <v>3661.02</v>
      </c>
      <c r="K133">
        <v>823.72881355932191</v>
      </c>
      <c r="L133">
        <v>4320.0036</v>
      </c>
      <c r="M133">
        <v>5400</v>
      </c>
      <c r="N133">
        <v>5400</v>
      </c>
      <c r="O133" t="s">
        <v>48</v>
      </c>
      <c r="P133">
        <v>4576.2711864406774</v>
      </c>
      <c r="Q133" t="s">
        <v>48</v>
      </c>
      <c r="R133">
        <v>5399.9999999999991</v>
      </c>
      <c r="S133" t="s">
        <v>211</v>
      </c>
      <c r="T133" t="s">
        <v>88</v>
      </c>
      <c r="U133" t="s">
        <v>211</v>
      </c>
      <c r="V133" t="s">
        <v>211</v>
      </c>
      <c r="W133" t="s">
        <v>131</v>
      </c>
      <c r="X133" t="s">
        <v>365</v>
      </c>
      <c r="Y133" t="s">
        <v>48</v>
      </c>
      <c r="Z133" t="s">
        <v>366</v>
      </c>
      <c r="AA133" t="s">
        <v>360</v>
      </c>
      <c r="AB133" t="s">
        <v>12</v>
      </c>
      <c r="AC133" t="s">
        <v>56</v>
      </c>
    </row>
    <row r="134" spans="1:29" x14ac:dyDescent="0.3">
      <c r="A134">
        <v>145</v>
      </c>
      <c r="B134" t="s">
        <v>44</v>
      </c>
      <c r="C134" t="s">
        <v>57</v>
      </c>
      <c r="D134" t="s">
        <v>65</v>
      </c>
      <c r="E134" t="s">
        <v>47</v>
      </c>
      <c r="F134">
        <v>1</v>
      </c>
      <c r="G134">
        <v>1967</v>
      </c>
      <c r="H134">
        <v>0.5</v>
      </c>
      <c r="I134">
        <v>0.05</v>
      </c>
      <c r="J134">
        <v>936.67</v>
      </c>
      <c r="K134">
        <v>56.1905</v>
      </c>
      <c r="L134">
        <v>983.50349999999992</v>
      </c>
      <c r="M134">
        <v>1180</v>
      </c>
      <c r="N134">
        <v>1180</v>
      </c>
      <c r="O134" t="s">
        <v>48</v>
      </c>
      <c r="P134">
        <v>1123.81</v>
      </c>
      <c r="Q134" t="s">
        <v>48</v>
      </c>
      <c r="R134">
        <v>1180.0004999999999</v>
      </c>
      <c r="S134" t="s">
        <v>367</v>
      </c>
      <c r="T134" t="s">
        <v>88</v>
      </c>
      <c r="U134" t="s">
        <v>320</v>
      </c>
      <c r="V134" t="s">
        <v>320</v>
      </c>
      <c r="W134" t="s">
        <v>337</v>
      </c>
      <c r="X134" t="s">
        <v>361</v>
      </c>
      <c r="Y134" t="s">
        <v>48</v>
      </c>
      <c r="Z134" t="s">
        <v>368</v>
      </c>
      <c r="AA134" t="s">
        <v>360</v>
      </c>
      <c r="AB134" t="s">
        <v>12</v>
      </c>
      <c r="AC134" t="s">
        <v>56</v>
      </c>
    </row>
    <row r="135" spans="1:29" x14ac:dyDescent="0.3">
      <c r="A135">
        <v>146</v>
      </c>
      <c r="B135" t="s">
        <v>44</v>
      </c>
      <c r="C135" t="s">
        <v>274</v>
      </c>
      <c r="D135" t="s">
        <v>117</v>
      </c>
      <c r="E135" t="s">
        <v>83</v>
      </c>
      <c r="F135">
        <v>1</v>
      </c>
      <c r="G135">
        <v>2999</v>
      </c>
      <c r="H135">
        <v>0.52</v>
      </c>
      <c r="I135">
        <v>0.05</v>
      </c>
      <c r="J135">
        <v>1370.97</v>
      </c>
      <c r="K135">
        <v>100</v>
      </c>
      <c r="L135">
        <v>1439.5185000000001</v>
      </c>
      <c r="M135">
        <v>2100</v>
      </c>
      <c r="N135">
        <v>2100</v>
      </c>
      <c r="O135" t="s">
        <v>48</v>
      </c>
      <c r="P135">
        <v>2000</v>
      </c>
      <c r="Q135" t="s">
        <v>48</v>
      </c>
      <c r="R135">
        <v>2100</v>
      </c>
      <c r="S135" t="s">
        <v>369</v>
      </c>
      <c r="T135" t="s">
        <v>34</v>
      </c>
      <c r="U135" t="s">
        <v>370</v>
      </c>
      <c r="V135" t="s">
        <v>370</v>
      </c>
      <c r="W135" t="s">
        <v>131</v>
      </c>
      <c r="X135" t="s">
        <v>371</v>
      </c>
      <c r="Y135" t="s">
        <v>48</v>
      </c>
      <c r="Z135" t="s">
        <v>372</v>
      </c>
      <c r="AA135" t="s">
        <v>360</v>
      </c>
      <c r="AB135" t="s">
        <v>12</v>
      </c>
      <c r="AC135" t="s">
        <v>56</v>
      </c>
    </row>
    <row r="136" spans="1:29" x14ac:dyDescent="0.3">
      <c r="A136">
        <v>147</v>
      </c>
      <c r="B136" t="s">
        <v>44</v>
      </c>
      <c r="C136" t="s">
        <v>373</v>
      </c>
      <c r="D136" t="s">
        <v>46</v>
      </c>
      <c r="E136" t="s">
        <v>83</v>
      </c>
      <c r="F136">
        <v>1</v>
      </c>
      <c r="G136">
        <v>2999</v>
      </c>
      <c r="H136">
        <v>0.52</v>
      </c>
      <c r="I136">
        <v>0.05</v>
      </c>
      <c r="J136">
        <v>1370.97</v>
      </c>
      <c r="K136">
        <v>82.829499999999996</v>
      </c>
      <c r="L136">
        <v>1439.5185000000001</v>
      </c>
      <c r="M136">
        <v>1739.42</v>
      </c>
      <c r="N136">
        <v>1739.42</v>
      </c>
      <c r="O136" t="s">
        <v>48</v>
      </c>
      <c r="P136">
        <v>1656.59</v>
      </c>
      <c r="Q136" t="s">
        <v>48</v>
      </c>
      <c r="R136">
        <v>1739.4195</v>
      </c>
      <c r="S136" t="s">
        <v>374</v>
      </c>
      <c r="T136" t="s">
        <v>34</v>
      </c>
      <c r="U136" t="s">
        <v>374</v>
      </c>
      <c r="V136" t="s">
        <v>374</v>
      </c>
      <c r="W136" t="s">
        <v>375</v>
      </c>
      <c r="X136" t="s">
        <v>376</v>
      </c>
      <c r="Y136" t="s">
        <v>48</v>
      </c>
      <c r="Z136" t="s">
        <v>377</v>
      </c>
      <c r="AA136" t="s">
        <v>360</v>
      </c>
      <c r="AB136" t="s">
        <v>12</v>
      </c>
      <c r="AC136" t="s">
        <v>56</v>
      </c>
    </row>
    <row r="137" spans="1:29" x14ac:dyDescent="0.3">
      <c r="A137">
        <v>148</v>
      </c>
      <c r="B137" t="s">
        <v>44</v>
      </c>
      <c r="C137" t="s">
        <v>373</v>
      </c>
      <c r="D137" t="s">
        <v>99</v>
      </c>
      <c r="E137" t="s">
        <v>83</v>
      </c>
      <c r="F137">
        <v>1</v>
      </c>
      <c r="G137">
        <v>2999</v>
      </c>
      <c r="H137">
        <v>0.52</v>
      </c>
      <c r="I137">
        <v>0.05</v>
      </c>
      <c r="J137">
        <v>1370.97</v>
      </c>
      <c r="K137">
        <v>82.829499999999996</v>
      </c>
      <c r="L137">
        <v>1439.5185000000001</v>
      </c>
      <c r="M137">
        <v>1739.42</v>
      </c>
      <c r="N137">
        <v>1739.42</v>
      </c>
      <c r="O137" t="s">
        <v>48</v>
      </c>
      <c r="P137">
        <v>1656.59</v>
      </c>
      <c r="Q137" t="s">
        <v>48</v>
      </c>
      <c r="R137">
        <v>1739.4195</v>
      </c>
      <c r="S137" t="s">
        <v>374</v>
      </c>
      <c r="T137" t="s">
        <v>34</v>
      </c>
      <c r="U137" t="s">
        <v>374</v>
      </c>
      <c r="V137" t="s">
        <v>374</v>
      </c>
      <c r="W137" t="s">
        <v>375</v>
      </c>
      <c r="X137" t="s">
        <v>376</v>
      </c>
      <c r="Y137" t="s">
        <v>48</v>
      </c>
      <c r="Z137" t="s">
        <v>378</v>
      </c>
      <c r="AA137" t="s">
        <v>379</v>
      </c>
      <c r="AB137" t="s">
        <v>12</v>
      </c>
      <c r="AC137" t="s">
        <v>56</v>
      </c>
    </row>
    <row r="138" spans="1:29" x14ac:dyDescent="0.3">
      <c r="A138">
        <v>149</v>
      </c>
      <c r="B138" t="s">
        <v>44</v>
      </c>
      <c r="C138" t="s">
        <v>274</v>
      </c>
      <c r="D138" t="s">
        <v>65</v>
      </c>
      <c r="E138" t="s">
        <v>83</v>
      </c>
      <c r="F138">
        <v>1</v>
      </c>
      <c r="G138">
        <v>2999</v>
      </c>
      <c r="H138">
        <v>0.52</v>
      </c>
      <c r="I138">
        <v>0.05</v>
      </c>
      <c r="J138">
        <v>1370.97</v>
      </c>
      <c r="K138">
        <v>82.829499999999996</v>
      </c>
      <c r="L138">
        <v>1439.5185000000001</v>
      </c>
      <c r="M138">
        <v>1739.42</v>
      </c>
      <c r="N138">
        <v>1739.42</v>
      </c>
      <c r="O138" t="s">
        <v>48</v>
      </c>
      <c r="P138">
        <v>1656.59</v>
      </c>
      <c r="Q138" t="s">
        <v>48</v>
      </c>
      <c r="R138">
        <v>1739.4195</v>
      </c>
      <c r="S138" t="s">
        <v>374</v>
      </c>
      <c r="T138" t="s">
        <v>34</v>
      </c>
      <c r="U138" t="s">
        <v>374</v>
      </c>
      <c r="V138" t="s">
        <v>374</v>
      </c>
      <c r="W138" t="s">
        <v>375</v>
      </c>
      <c r="X138" t="s">
        <v>376</v>
      </c>
      <c r="Y138" t="s">
        <v>48</v>
      </c>
      <c r="Z138" t="s">
        <v>380</v>
      </c>
      <c r="AA138" t="s">
        <v>379</v>
      </c>
      <c r="AB138" t="s">
        <v>12</v>
      </c>
      <c r="AC138" t="s">
        <v>56</v>
      </c>
    </row>
    <row r="139" spans="1:29" x14ac:dyDescent="0.3">
      <c r="A139">
        <v>150</v>
      </c>
      <c r="B139" t="s">
        <v>68</v>
      </c>
      <c r="C139" t="s">
        <v>114</v>
      </c>
      <c r="D139" t="s">
        <v>117</v>
      </c>
      <c r="E139" t="s">
        <v>83</v>
      </c>
      <c r="F139">
        <v>1</v>
      </c>
      <c r="G139">
        <v>5000</v>
      </c>
      <c r="H139">
        <v>0.52</v>
      </c>
      <c r="I139">
        <v>0.05</v>
      </c>
      <c r="J139">
        <v>4761.8999999999996</v>
      </c>
      <c r="K139">
        <v>142.857</v>
      </c>
      <c r="L139">
        <v>4999.9949999999999</v>
      </c>
      <c r="M139">
        <v>3000</v>
      </c>
      <c r="N139">
        <v>3000</v>
      </c>
      <c r="O139" t="s">
        <v>48</v>
      </c>
      <c r="P139">
        <v>2857.14</v>
      </c>
      <c r="Q139" t="s">
        <v>48</v>
      </c>
      <c r="R139">
        <v>2999.9969999999998</v>
      </c>
      <c r="S139" t="s">
        <v>228</v>
      </c>
      <c r="T139" t="s">
        <v>50</v>
      </c>
      <c r="U139" t="s">
        <v>228</v>
      </c>
      <c r="V139" t="s">
        <v>228</v>
      </c>
      <c r="W139" t="s">
        <v>229</v>
      </c>
      <c r="X139" t="s">
        <v>48</v>
      </c>
      <c r="Y139" t="s">
        <v>48</v>
      </c>
      <c r="Z139" t="s">
        <v>381</v>
      </c>
      <c r="AA139" t="s">
        <v>379</v>
      </c>
      <c r="AB139" t="s">
        <v>12</v>
      </c>
      <c r="AC139" t="s">
        <v>56</v>
      </c>
    </row>
    <row r="140" spans="1:29" x14ac:dyDescent="0.3">
      <c r="A140">
        <v>151</v>
      </c>
      <c r="B140" t="s">
        <v>44</v>
      </c>
      <c r="C140" t="s">
        <v>75</v>
      </c>
      <c r="D140" t="s">
        <v>59</v>
      </c>
      <c r="E140" t="s">
        <v>47</v>
      </c>
      <c r="F140">
        <v>1</v>
      </c>
      <c r="G140">
        <v>1967</v>
      </c>
      <c r="H140">
        <v>0.5</v>
      </c>
      <c r="I140">
        <v>0.05</v>
      </c>
      <c r="J140">
        <v>936.67</v>
      </c>
      <c r="K140">
        <v>56.190476190476176</v>
      </c>
      <c r="L140">
        <v>983.50349999999992</v>
      </c>
      <c r="M140">
        <v>1180</v>
      </c>
      <c r="N140">
        <v>1180</v>
      </c>
      <c r="O140" t="s">
        <v>48</v>
      </c>
      <c r="P140">
        <v>1123.8095238095234</v>
      </c>
      <c r="Q140" t="s">
        <v>48</v>
      </c>
      <c r="R140">
        <v>1179.9999999999995</v>
      </c>
      <c r="S140" t="s">
        <v>228</v>
      </c>
      <c r="T140" t="s">
        <v>50</v>
      </c>
      <c r="U140" t="s">
        <v>228</v>
      </c>
      <c r="V140" t="s">
        <v>228</v>
      </c>
      <c r="W140" t="s">
        <v>229</v>
      </c>
      <c r="X140" t="s">
        <v>48</v>
      </c>
      <c r="Y140" t="s">
        <v>48</v>
      </c>
      <c r="Z140" t="s">
        <v>382</v>
      </c>
      <c r="AA140" t="s">
        <v>379</v>
      </c>
      <c r="AB140" t="s">
        <v>12</v>
      </c>
      <c r="AC140" t="s">
        <v>56</v>
      </c>
    </row>
    <row r="141" spans="1:29" x14ac:dyDescent="0.3">
      <c r="A141">
        <v>152</v>
      </c>
      <c r="B141" t="s">
        <v>238</v>
      </c>
      <c r="C141" t="s">
        <v>383</v>
      </c>
      <c r="D141" t="s">
        <v>76</v>
      </c>
      <c r="E141" t="s">
        <v>83</v>
      </c>
      <c r="F141">
        <v>1</v>
      </c>
      <c r="G141">
        <v>2799</v>
      </c>
      <c r="H141">
        <v>0.52</v>
      </c>
      <c r="I141">
        <v>0.05</v>
      </c>
      <c r="J141">
        <v>2665.71</v>
      </c>
      <c r="K141">
        <v>79.971500000000006</v>
      </c>
      <c r="L141">
        <v>2798.9955</v>
      </c>
      <c r="M141">
        <v>1679.4</v>
      </c>
      <c r="N141">
        <v>1679.5</v>
      </c>
      <c r="O141" t="s">
        <v>48</v>
      </c>
      <c r="P141">
        <v>1599.43</v>
      </c>
      <c r="Q141" t="s">
        <v>48</v>
      </c>
      <c r="R141">
        <v>1679.4015000000002</v>
      </c>
      <c r="S141" t="s">
        <v>228</v>
      </c>
      <c r="T141" t="s">
        <v>50</v>
      </c>
      <c r="U141" t="s">
        <v>228</v>
      </c>
      <c r="V141" t="s">
        <v>228</v>
      </c>
      <c r="W141" t="s">
        <v>229</v>
      </c>
      <c r="X141" t="s">
        <v>48</v>
      </c>
      <c r="Y141" t="s">
        <v>48</v>
      </c>
      <c r="Z141" t="s">
        <v>384</v>
      </c>
      <c r="AA141" t="s">
        <v>379</v>
      </c>
      <c r="AB141" t="s">
        <v>12</v>
      </c>
      <c r="AC141" t="s">
        <v>56</v>
      </c>
    </row>
    <row r="142" spans="1:29" x14ac:dyDescent="0.3">
      <c r="A142">
        <v>153</v>
      </c>
      <c r="B142" t="s">
        <v>44</v>
      </c>
      <c r="C142" t="s">
        <v>274</v>
      </c>
      <c r="D142" t="s">
        <v>117</v>
      </c>
      <c r="E142" t="s">
        <v>83</v>
      </c>
      <c r="F142">
        <v>1</v>
      </c>
      <c r="G142">
        <v>2999</v>
      </c>
      <c r="H142">
        <v>0.52</v>
      </c>
      <c r="I142">
        <v>0.05</v>
      </c>
      <c r="J142">
        <v>1370.97</v>
      </c>
      <c r="K142">
        <v>85.714500000000001</v>
      </c>
      <c r="L142">
        <v>1439.5185000000001</v>
      </c>
      <c r="M142">
        <v>1800</v>
      </c>
      <c r="N142">
        <v>1800</v>
      </c>
      <c r="O142" t="s">
        <v>48</v>
      </c>
      <c r="P142">
        <v>1714.29</v>
      </c>
      <c r="Q142" t="s">
        <v>48</v>
      </c>
      <c r="R142">
        <v>1800.0045</v>
      </c>
      <c r="S142" t="s">
        <v>385</v>
      </c>
      <c r="T142" t="s">
        <v>88</v>
      </c>
      <c r="U142" t="s">
        <v>386</v>
      </c>
      <c r="V142" t="s">
        <v>386</v>
      </c>
      <c r="W142" t="s">
        <v>387</v>
      </c>
      <c r="X142" t="s">
        <v>388</v>
      </c>
      <c r="Y142" t="s">
        <v>48</v>
      </c>
      <c r="Z142" t="s">
        <v>389</v>
      </c>
      <c r="AA142" t="s">
        <v>379</v>
      </c>
      <c r="AB142" t="s">
        <v>12</v>
      </c>
      <c r="AC142" t="s">
        <v>56</v>
      </c>
    </row>
    <row r="143" spans="1:29" x14ac:dyDescent="0.3">
      <c r="A143">
        <v>154</v>
      </c>
      <c r="B143" t="s">
        <v>44</v>
      </c>
      <c r="C143" t="s">
        <v>274</v>
      </c>
      <c r="D143" t="s">
        <v>117</v>
      </c>
      <c r="E143" t="s">
        <v>83</v>
      </c>
      <c r="F143">
        <v>1</v>
      </c>
      <c r="G143">
        <v>2999</v>
      </c>
      <c r="H143">
        <v>0.52</v>
      </c>
      <c r="I143">
        <v>0.05</v>
      </c>
      <c r="J143">
        <v>1370.97</v>
      </c>
      <c r="K143">
        <v>85.714500000000001</v>
      </c>
      <c r="L143">
        <v>1439.5185000000001</v>
      </c>
      <c r="M143">
        <v>1800</v>
      </c>
      <c r="N143">
        <v>1800</v>
      </c>
      <c r="O143" t="s">
        <v>48</v>
      </c>
      <c r="P143">
        <v>1714.29</v>
      </c>
      <c r="Q143" t="s">
        <v>48</v>
      </c>
      <c r="R143">
        <v>1800.0045</v>
      </c>
      <c r="S143" t="s">
        <v>385</v>
      </c>
      <c r="T143" t="s">
        <v>88</v>
      </c>
      <c r="U143" t="s">
        <v>386</v>
      </c>
      <c r="V143" t="s">
        <v>386</v>
      </c>
      <c r="W143" t="s">
        <v>387</v>
      </c>
      <c r="X143" t="s">
        <v>388</v>
      </c>
      <c r="Y143" t="s">
        <v>48</v>
      </c>
      <c r="Z143" t="s">
        <v>390</v>
      </c>
      <c r="AA143" t="s">
        <v>379</v>
      </c>
      <c r="AB143" t="s">
        <v>12</v>
      </c>
      <c r="AC143" t="s">
        <v>56</v>
      </c>
    </row>
    <row r="144" spans="1:29" x14ac:dyDescent="0.3">
      <c r="A144">
        <v>155</v>
      </c>
      <c r="B144" t="s">
        <v>44</v>
      </c>
      <c r="C144" t="s">
        <v>274</v>
      </c>
      <c r="D144" t="s">
        <v>76</v>
      </c>
      <c r="E144" t="s">
        <v>83</v>
      </c>
      <c r="F144">
        <v>1</v>
      </c>
      <c r="G144">
        <v>2999</v>
      </c>
      <c r="H144">
        <v>0.52</v>
      </c>
      <c r="I144">
        <v>0.05</v>
      </c>
      <c r="J144">
        <v>1370.97</v>
      </c>
      <c r="K144">
        <v>85.714500000000001</v>
      </c>
      <c r="L144">
        <v>1439.5185000000001</v>
      </c>
      <c r="M144">
        <v>1800</v>
      </c>
      <c r="N144">
        <v>1800</v>
      </c>
      <c r="O144" t="s">
        <v>48</v>
      </c>
      <c r="P144">
        <v>1714.29</v>
      </c>
      <c r="Q144" t="s">
        <v>48</v>
      </c>
      <c r="R144">
        <v>1800.0045</v>
      </c>
      <c r="S144" t="s">
        <v>385</v>
      </c>
      <c r="T144" t="s">
        <v>88</v>
      </c>
      <c r="U144" t="s">
        <v>386</v>
      </c>
      <c r="V144" t="s">
        <v>386</v>
      </c>
      <c r="W144" t="s">
        <v>387</v>
      </c>
      <c r="X144" t="s">
        <v>388</v>
      </c>
      <c r="Y144" t="s">
        <v>48</v>
      </c>
      <c r="Z144" t="s">
        <v>391</v>
      </c>
      <c r="AA144" t="s">
        <v>379</v>
      </c>
      <c r="AB144" t="s">
        <v>12</v>
      </c>
      <c r="AC144" t="s">
        <v>56</v>
      </c>
    </row>
    <row r="145" spans="1:29" x14ac:dyDescent="0.3">
      <c r="A145">
        <v>156</v>
      </c>
      <c r="B145" t="s">
        <v>44</v>
      </c>
      <c r="C145" t="s">
        <v>274</v>
      </c>
      <c r="D145" t="s">
        <v>59</v>
      </c>
      <c r="E145" t="s">
        <v>83</v>
      </c>
      <c r="F145">
        <v>1</v>
      </c>
      <c r="G145">
        <v>2999</v>
      </c>
      <c r="H145">
        <v>0.52</v>
      </c>
      <c r="I145">
        <v>0.05</v>
      </c>
      <c r="J145">
        <v>1370.97</v>
      </c>
      <c r="K145">
        <v>85.714500000000001</v>
      </c>
      <c r="L145">
        <v>1439.5185000000001</v>
      </c>
      <c r="M145">
        <v>1800</v>
      </c>
      <c r="N145">
        <v>1800</v>
      </c>
      <c r="O145" t="s">
        <v>48</v>
      </c>
      <c r="P145">
        <v>1714.29</v>
      </c>
      <c r="Q145" t="s">
        <v>48</v>
      </c>
      <c r="R145">
        <v>1800.0045</v>
      </c>
      <c r="S145" t="s">
        <v>385</v>
      </c>
      <c r="T145" t="s">
        <v>88</v>
      </c>
      <c r="U145" t="s">
        <v>386</v>
      </c>
      <c r="V145" t="s">
        <v>386</v>
      </c>
      <c r="W145" t="s">
        <v>387</v>
      </c>
      <c r="X145" t="s">
        <v>388</v>
      </c>
      <c r="Y145" t="s">
        <v>48</v>
      </c>
      <c r="Z145" t="s">
        <v>392</v>
      </c>
      <c r="AA145" t="s">
        <v>393</v>
      </c>
      <c r="AB145" t="s">
        <v>12</v>
      </c>
      <c r="AC145" t="s">
        <v>56</v>
      </c>
    </row>
    <row r="146" spans="1:29" x14ac:dyDescent="0.3">
      <c r="A146">
        <v>157</v>
      </c>
      <c r="B146" t="s">
        <v>44</v>
      </c>
      <c r="C146" t="s">
        <v>274</v>
      </c>
      <c r="D146" t="s">
        <v>65</v>
      </c>
      <c r="E146" t="s">
        <v>83</v>
      </c>
      <c r="F146">
        <v>1</v>
      </c>
      <c r="G146">
        <v>2999</v>
      </c>
      <c r="H146">
        <v>0.52</v>
      </c>
      <c r="I146">
        <v>0.05</v>
      </c>
      <c r="J146">
        <v>1370.97</v>
      </c>
      <c r="K146">
        <v>85.714500000000001</v>
      </c>
      <c r="L146">
        <v>1439.5185000000001</v>
      </c>
      <c r="M146">
        <v>1800</v>
      </c>
      <c r="N146">
        <v>1800</v>
      </c>
      <c r="O146" t="s">
        <v>48</v>
      </c>
      <c r="P146">
        <v>1714.29</v>
      </c>
      <c r="Q146" t="s">
        <v>48</v>
      </c>
      <c r="R146">
        <v>1800.0045</v>
      </c>
      <c r="S146" t="s">
        <v>385</v>
      </c>
      <c r="T146" t="s">
        <v>88</v>
      </c>
      <c r="U146" t="s">
        <v>386</v>
      </c>
      <c r="V146" t="s">
        <v>386</v>
      </c>
      <c r="W146" t="s">
        <v>387</v>
      </c>
      <c r="X146" t="s">
        <v>388</v>
      </c>
      <c r="Y146" t="s">
        <v>48</v>
      </c>
      <c r="Z146" t="s">
        <v>394</v>
      </c>
      <c r="AA146" t="s">
        <v>393</v>
      </c>
      <c r="AB146" t="s">
        <v>12</v>
      </c>
      <c r="AC146" t="s">
        <v>56</v>
      </c>
    </row>
    <row r="147" spans="1:29" x14ac:dyDescent="0.3">
      <c r="A147">
        <v>158</v>
      </c>
      <c r="B147" t="s">
        <v>44</v>
      </c>
      <c r="C147" t="s">
        <v>274</v>
      </c>
      <c r="D147" t="s">
        <v>99</v>
      </c>
      <c r="E147" t="s">
        <v>83</v>
      </c>
      <c r="F147">
        <v>1</v>
      </c>
      <c r="G147">
        <v>2999</v>
      </c>
      <c r="H147">
        <v>0.52</v>
      </c>
      <c r="I147">
        <v>0.05</v>
      </c>
      <c r="J147">
        <v>1370.97</v>
      </c>
      <c r="K147">
        <v>85.714500000000001</v>
      </c>
      <c r="L147">
        <v>1439.5185000000001</v>
      </c>
      <c r="M147">
        <v>1800</v>
      </c>
      <c r="N147">
        <v>1800</v>
      </c>
      <c r="O147" t="s">
        <v>48</v>
      </c>
      <c r="P147">
        <v>1714.29</v>
      </c>
      <c r="Q147" t="s">
        <v>48</v>
      </c>
      <c r="R147">
        <v>1800.0045</v>
      </c>
      <c r="S147" t="s">
        <v>385</v>
      </c>
      <c r="T147" t="s">
        <v>88</v>
      </c>
      <c r="U147" t="s">
        <v>386</v>
      </c>
      <c r="V147" t="s">
        <v>386</v>
      </c>
      <c r="W147" t="s">
        <v>387</v>
      </c>
      <c r="X147" t="s">
        <v>388</v>
      </c>
      <c r="Y147" t="s">
        <v>48</v>
      </c>
      <c r="Z147" t="s">
        <v>395</v>
      </c>
      <c r="AA147" t="s">
        <v>393</v>
      </c>
      <c r="AB147" t="s">
        <v>12</v>
      </c>
      <c r="AC147" t="s">
        <v>56</v>
      </c>
    </row>
    <row r="148" spans="1:29" x14ac:dyDescent="0.3">
      <c r="A148">
        <v>159</v>
      </c>
      <c r="B148" t="s">
        <v>44</v>
      </c>
      <c r="C148" t="s">
        <v>373</v>
      </c>
      <c r="D148" t="s">
        <v>117</v>
      </c>
      <c r="E148" t="s">
        <v>83</v>
      </c>
      <c r="F148">
        <v>1</v>
      </c>
      <c r="G148">
        <v>2999</v>
      </c>
      <c r="H148">
        <v>0.52</v>
      </c>
      <c r="I148">
        <v>0.05</v>
      </c>
      <c r="J148">
        <v>1370.97</v>
      </c>
      <c r="K148">
        <v>85.714500000000001</v>
      </c>
      <c r="L148">
        <v>1439.5185000000001</v>
      </c>
      <c r="M148">
        <v>1800</v>
      </c>
      <c r="N148">
        <v>1800</v>
      </c>
      <c r="O148" t="s">
        <v>48</v>
      </c>
      <c r="P148">
        <v>1714.29</v>
      </c>
      <c r="Q148" t="s">
        <v>48</v>
      </c>
      <c r="R148">
        <v>1800.0045</v>
      </c>
      <c r="S148" t="s">
        <v>385</v>
      </c>
      <c r="T148" t="s">
        <v>88</v>
      </c>
      <c r="U148" t="s">
        <v>386</v>
      </c>
      <c r="V148" t="s">
        <v>386</v>
      </c>
      <c r="W148" t="s">
        <v>387</v>
      </c>
      <c r="X148" t="s">
        <v>388</v>
      </c>
      <c r="Y148" t="s">
        <v>48</v>
      </c>
      <c r="Z148" t="s">
        <v>396</v>
      </c>
      <c r="AA148" t="s">
        <v>393</v>
      </c>
      <c r="AB148" t="s">
        <v>12</v>
      </c>
      <c r="AC148" t="s">
        <v>56</v>
      </c>
    </row>
    <row r="149" spans="1:29" x14ac:dyDescent="0.3">
      <c r="A149">
        <v>160</v>
      </c>
      <c r="B149" t="s">
        <v>44</v>
      </c>
      <c r="C149" t="s">
        <v>373</v>
      </c>
      <c r="D149" t="s">
        <v>65</v>
      </c>
      <c r="E149" t="s">
        <v>83</v>
      </c>
      <c r="F149">
        <v>1</v>
      </c>
      <c r="G149">
        <v>2999</v>
      </c>
      <c r="H149">
        <v>0.52</v>
      </c>
      <c r="I149">
        <v>0.05</v>
      </c>
      <c r="J149">
        <v>1370.97</v>
      </c>
      <c r="K149">
        <v>85.714500000000001</v>
      </c>
      <c r="L149">
        <v>1439.5185000000001</v>
      </c>
      <c r="M149">
        <v>1800</v>
      </c>
      <c r="N149">
        <v>1800</v>
      </c>
      <c r="O149" t="s">
        <v>48</v>
      </c>
      <c r="P149">
        <v>1714.29</v>
      </c>
      <c r="Q149" t="s">
        <v>48</v>
      </c>
      <c r="R149">
        <v>1800.0045</v>
      </c>
      <c r="S149" t="s">
        <v>385</v>
      </c>
      <c r="T149" t="s">
        <v>88</v>
      </c>
      <c r="U149" t="s">
        <v>386</v>
      </c>
      <c r="V149" t="s">
        <v>386</v>
      </c>
      <c r="W149" t="s">
        <v>387</v>
      </c>
      <c r="X149" t="s">
        <v>388</v>
      </c>
      <c r="Y149" t="s">
        <v>48</v>
      </c>
      <c r="Z149" t="s">
        <v>397</v>
      </c>
      <c r="AA149" t="s">
        <v>393</v>
      </c>
      <c r="AB149" t="s">
        <v>12</v>
      </c>
      <c r="AC149" t="s">
        <v>56</v>
      </c>
    </row>
    <row r="150" spans="1:29" x14ac:dyDescent="0.3">
      <c r="A150">
        <v>161</v>
      </c>
      <c r="B150" t="s">
        <v>44</v>
      </c>
      <c r="C150" t="s">
        <v>57</v>
      </c>
      <c r="D150" t="s">
        <v>86</v>
      </c>
      <c r="E150" t="s">
        <v>47</v>
      </c>
      <c r="F150">
        <v>1</v>
      </c>
      <c r="G150">
        <v>1967</v>
      </c>
      <c r="H150">
        <v>0.5</v>
      </c>
      <c r="I150">
        <v>0.05</v>
      </c>
      <c r="J150">
        <v>936.67</v>
      </c>
      <c r="K150">
        <v>65.571428571428541</v>
      </c>
      <c r="L150">
        <v>983.50349999999992</v>
      </c>
      <c r="M150">
        <v>1377</v>
      </c>
      <c r="N150">
        <v>1377</v>
      </c>
      <c r="O150" t="s">
        <v>48</v>
      </c>
      <c r="P150">
        <v>1311.4285714285709</v>
      </c>
      <c r="Q150" t="s">
        <v>48</v>
      </c>
      <c r="R150">
        <v>1376.9999999999993</v>
      </c>
      <c r="S150" t="s">
        <v>48</v>
      </c>
      <c r="T150" t="s">
        <v>88</v>
      </c>
      <c r="U150" t="s">
        <v>398</v>
      </c>
      <c r="V150" t="s">
        <v>398</v>
      </c>
      <c r="W150" t="s">
        <v>399</v>
      </c>
      <c r="X150" t="s">
        <v>48</v>
      </c>
      <c r="Y150" t="s">
        <v>48</v>
      </c>
      <c r="Z150" t="s">
        <v>400</v>
      </c>
      <c r="AA150" t="s">
        <v>393</v>
      </c>
      <c r="AB150" t="s">
        <v>12</v>
      </c>
      <c r="AC150" t="s">
        <v>401</v>
      </c>
    </row>
    <row r="151" spans="1:29" x14ac:dyDescent="0.3">
      <c r="A151">
        <v>162</v>
      </c>
      <c r="B151" t="s">
        <v>44</v>
      </c>
      <c r="C151" t="s">
        <v>57</v>
      </c>
      <c r="D151" t="s">
        <v>59</v>
      </c>
      <c r="E151" t="s">
        <v>83</v>
      </c>
      <c r="F151">
        <v>1</v>
      </c>
      <c r="G151">
        <v>1967</v>
      </c>
      <c r="H151">
        <v>0.52</v>
      </c>
      <c r="I151">
        <v>0.05</v>
      </c>
      <c r="J151">
        <v>899.2</v>
      </c>
      <c r="K151">
        <v>60.904761904761884</v>
      </c>
      <c r="L151">
        <v>944.16000000000008</v>
      </c>
      <c r="M151">
        <v>1279</v>
      </c>
      <c r="N151">
        <v>1279</v>
      </c>
      <c r="O151" t="s">
        <v>48</v>
      </c>
      <c r="P151">
        <v>1218.0952380952376</v>
      </c>
      <c r="Q151" t="s">
        <v>48</v>
      </c>
      <c r="R151">
        <v>1278.9999999999995</v>
      </c>
      <c r="S151" t="s">
        <v>48</v>
      </c>
      <c r="T151" t="s">
        <v>88</v>
      </c>
      <c r="U151" t="s">
        <v>398</v>
      </c>
      <c r="V151" t="s">
        <v>398</v>
      </c>
      <c r="W151" t="s">
        <v>399</v>
      </c>
      <c r="X151" t="s">
        <v>48</v>
      </c>
      <c r="Y151" t="s">
        <v>48</v>
      </c>
      <c r="Z151" t="s">
        <v>402</v>
      </c>
      <c r="AA151" t="s">
        <v>393</v>
      </c>
      <c r="AB151" t="s">
        <v>12</v>
      </c>
      <c r="AC151" t="s">
        <v>401</v>
      </c>
    </row>
    <row r="152" spans="1:29" x14ac:dyDescent="0.3">
      <c r="A152">
        <v>163</v>
      </c>
      <c r="B152" t="s">
        <v>68</v>
      </c>
      <c r="C152" t="s">
        <v>114</v>
      </c>
      <c r="D152" t="s">
        <v>65</v>
      </c>
      <c r="E152" t="s">
        <v>83</v>
      </c>
      <c r="F152">
        <v>1</v>
      </c>
      <c r="G152">
        <v>5000</v>
      </c>
      <c r="H152">
        <v>0.52</v>
      </c>
      <c r="I152">
        <v>0.05</v>
      </c>
      <c r="J152">
        <v>2285.71</v>
      </c>
      <c r="K152">
        <v>166.66666666666663</v>
      </c>
      <c r="L152">
        <v>2399.9955</v>
      </c>
      <c r="M152">
        <v>3500</v>
      </c>
      <c r="N152">
        <v>3500</v>
      </c>
      <c r="O152" t="s">
        <v>48</v>
      </c>
      <c r="P152">
        <v>3333.3333333333321</v>
      </c>
      <c r="Q152" t="s">
        <v>48</v>
      </c>
      <c r="R152">
        <v>3499.9999999999986</v>
      </c>
      <c r="S152" t="s">
        <v>48</v>
      </c>
      <c r="T152" t="s">
        <v>88</v>
      </c>
      <c r="U152" t="s">
        <v>398</v>
      </c>
      <c r="V152" t="s">
        <v>398</v>
      </c>
      <c r="W152" t="s">
        <v>399</v>
      </c>
      <c r="X152" t="s">
        <v>48</v>
      </c>
      <c r="Y152" t="s">
        <v>48</v>
      </c>
      <c r="Z152" t="s">
        <v>403</v>
      </c>
      <c r="AA152" t="s">
        <v>393</v>
      </c>
      <c r="AB152" t="s">
        <v>12</v>
      </c>
      <c r="AC152" t="s">
        <v>401</v>
      </c>
    </row>
    <row r="153" spans="1:29" x14ac:dyDescent="0.3">
      <c r="A153">
        <v>164</v>
      </c>
      <c r="B153" t="s">
        <v>68</v>
      </c>
      <c r="C153" t="s">
        <v>141</v>
      </c>
      <c r="D153" t="s">
        <v>117</v>
      </c>
      <c r="E153" t="s">
        <v>47</v>
      </c>
      <c r="F153">
        <v>1</v>
      </c>
      <c r="G153">
        <v>7011</v>
      </c>
      <c r="H153">
        <v>0.5</v>
      </c>
      <c r="I153">
        <v>0.18</v>
      </c>
      <c r="J153">
        <v>2970.76</v>
      </c>
      <c r="K153">
        <v>694.06779661016935</v>
      </c>
      <c r="L153">
        <v>3505.4968000000003</v>
      </c>
      <c r="M153">
        <v>4550</v>
      </c>
      <c r="N153">
        <v>4550</v>
      </c>
      <c r="O153" t="s">
        <v>48</v>
      </c>
      <c r="P153">
        <v>3855.9322033898302</v>
      </c>
      <c r="Q153" t="s">
        <v>48</v>
      </c>
      <c r="R153">
        <v>4550</v>
      </c>
      <c r="S153" t="s">
        <v>48</v>
      </c>
      <c r="T153" t="s">
        <v>88</v>
      </c>
      <c r="U153" t="s">
        <v>398</v>
      </c>
      <c r="V153" t="s">
        <v>398</v>
      </c>
      <c r="W153" t="s">
        <v>399</v>
      </c>
      <c r="X153" t="s">
        <v>48</v>
      </c>
      <c r="Y153" t="s">
        <v>48</v>
      </c>
      <c r="Z153" t="s">
        <v>404</v>
      </c>
      <c r="AA153" t="s">
        <v>393</v>
      </c>
      <c r="AB153" t="s">
        <v>12</v>
      </c>
      <c r="AC153" t="s">
        <v>401</v>
      </c>
    </row>
    <row r="154" spans="1:29" x14ac:dyDescent="0.3">
      <c r="A154">
        <v>165</v>
      </c>
      <c r="B154" t="s">
        <v>44</v>
      </c>
      <c r="C154" t="s">
        <v>82</v>
      </c>
      <c r="D154" t="s">
        <v>76</v>
      </c>
      <c r="E154" t="s">
        <v>47</v>
      </c>
      <c r="F154">
        <v>1</v>
      </c>
      <c r="G154">
        <v>2207</v>
      </c>
      <c r="H154">
        <v>0.5</v>
      </c>
      <c r="I154">
        <v>0.05</v>
      </c>
      <c r="J154">
        <v>1050.95</v>
      </c>
      <c r="K154">
        <v>73.571428571428541</v>
      </c>
      <c r="L154">
        <v>1103.4974999999999</v>
      </c>
      <c r="M154">
        <v>1545</v>
      </c>
      <c r="N154">
        <v>1545</v>
      </c>
      <c r="O154" t="s">
        <v>48</v>
      </c>
      <c r="P154">
        <v>1471.4285714285709</v>
      </c>
      <c r="Q154" t="s">
        <v>48</v>
      </c>
      <c r="R154">
        <v>1544.9999999999993</v>
      </c>
      <c r="S154" t="s">
        <v>48</v>
      </c>
      <c r="T154" t="s">
        <v>88</v>
      </c>
      <c r="U154" t="s">
        <v>398</v>
      </c>
      <c r="V154" t="s">
        <v>398</v>
      </c>
      <c r="W154" t="s">
        <v>399</v>
      </c>
      <c r="X154" t="s">
        <v>48</v>
      </c>
      <c r="Y154" t="s">
        <v>48</v>
      </c>
      <c r="Z154" t="s">
        <v>405</v>
      </c>
      <c r="AA154" t="s">
        <v>393</v>
      </c>
      <c r="AB154" t="s">
        <v>12</v>
      </c>
      <c r="AC154" t="s">
        <v>401</v>
      </c>
    </row>
    <row r="155" spans="1:29" x14ac:dyDescent="0.3">
      <c r="A155">
        <v>166</v>
      </c>
      <c r="B155" t="s">
        <v>44</v>
      </c>
      <c r="C155" t="s">
        <v>274</v>
      </c>
      <c r="D155" t="s">
        <v>59</v>
      </c>
      <c r="E155" t="s">
        <v>83</v>
      </c>
      <c r="F155">
        <v>1</v>
      </c>
      <c r="G155">
        <v>2999</v>
      </c>
      <c r="H155">
        <v>0.52</v>
      </c>
      <c r="I155">
        <v>0.05</v>
      </c>
      <c r="J155">
        <v>1370.97</v>
      </c>
      <c r="K155">
        <v>99.952380952380906</v>
      </c>
      <c r="L155">
        <v>1439.5185000000001</v>
      </c>
      <c r="M155">
        <v>2099</v>
      </c>
      <c r="N155">
        <v>2099</v>
      </c>
      <c r="O155" t="s">
        <v>48</v>
      </c>
      <c r="P155">
        <v>1999.0476190476181</v>
      </c>
      <c r="Q155" t="s">
        <v>48</v>
      </c>
      <c r="R155">
        <v>2098.9999999999991</v>
      </c>
      <c r="S155" t="s">
        <v>48</v>
      </c>
      <c r="T155" t="s">
        <v>88</v>
      </c>
      <c r="U155" t="s">
        <v>398</v>
      </c>
      <c r="V155" t="s">
        <v>398</v>
      </c>
      <c r="W155" t="s">
        <v>399</v>
      </c>
      <c r="X155" t="s">
        <v>48</v>
      </c>
      <c r="Y155" t="s">
        <v>48</v>
      </c>
      <c r="Z155" t="s">
        <v>406</v>
      </c>
      <c r="AA155" t="s">
        <v>393</v>
      </c>
      <c r="AB155" t="s">
        <v>12</v>
      </c>
      <c r="AC155" t="s">
        <v>401</v>
      </c>
    </row>
    <row r="156" spans="1:29" x14ac:dyDescent="0.3">
      <c r="A156">
        <v>167</v>
      </c>
      <c r="B156" t="s">
        <v>44</v>
      </c>
      <c r="C156" t="s">
        <v>64</v>
      </c>
      <c r="D156" t="s">
        <v>117</v>
      </c>
      <c r="E156" t="s">
        <v>47</v>
      </c>
      <c r="F156">
        <v>1</v>
      </c>
      <c r="G156">
        <v>4500</v>
      </c>
      <c r="H156">
        <v>0.5</v>
      </c>
      <c r="I156">
        <v>0.18</v>
      </c>
      <c r="J156">
        <v>2142.86</v>
      </c>
      <c r="K156">
        <v>480.50847457627111</v>
      </c>
      <c r="L156">
        <v>2250.0030000000002</v>
      </c>
      <c r="M156">
        <v>3150</v>
      </c>
      <c r="N156">
        <v>3150</v>
      </c>
      <c r="O156" t="s">
        <v>48</v>
      </c>
      <c r="P156">
        <v>2669.4915254237285</v>
      </c>
      <c r="Q156" t="s">
        <v>48</v>
      </c>
      <c r="R156">
        <v>3149.9999999999995</v>
      </c>
      <c r="S156" t="s">
        <v>48</v>
      </c>
      <c r="T156" t="s">
        <v>88</v>
      </c>
      <c r="U156" t="s">
        <v>398</v>
      </c>
      <c r="V156" t="s">
        <v>398</v>
      </c>
      <c r="W156" t="s">
        <v>220</v>
      </c>
      <c r="X156" t="s">
        <v>407</v>
      </c>
      <c r="Y156" t="s">
        <v>48</v>
      </c>
      <c r="Z156" t="s">
        <v>408</v>
      </c>
      <c r="AA156" t="s">
        <v>393</v>
      </c>
      <c r="AB156" t="s">
        <v>12</v>
      </c>
      <c r="AC156" t="s">
        <v>401</v>
      </c>
    </row>
    <row r="157" spans="1:29" x14ac:dyDescent="0.3">
      <c r="A157">
        <v>168</v>
      </c>
      <c r="B157" t="s">
        <v>44</v>
      </c>
      <c r="C157" t="s">
        <v>75</v>
      </c>
      <c r="D157" t="s">
        <v>76</v>
      </c>
      <c r="E157" t="s">
        <v>47</v>
      </c>
      <c r="F157">
        <v>1</v>
      </c>
      <c r="G157">
        <v>1967</v>
      </c>
      <c r="H157">
        <v>0.5</v>
      </c>
      <c r="I157">
        <v>0.05</v>
      </c>
      <c r="J157">
        <v>936.67</v>
      </c>
      <c r="K157">
        <v>60.904761904761884</v>
      </c>
      <c r="L157">
        <v>983.50349999999992</v>
      </c>
      <c r="M157">
        <v>1279</v>
      </c>
      <c r="N157">
        <v>1279</v>
      </c>
      <c r="O157" t="s">
        <v>48</v>
      </c>
      <c r="P157">
        <v>1218.0952380952376</v>
      </c>
      <c r="Q157" t="s">
        <v>48</v>
      </c>
      <c r="R157">
        <v>1278.9999999999995</v>
      </c>
      <c r="S157" t="s">
        <v>48</v>
      </c>
      <c r="T157" t="s">
        <v>88</v>
      </c>
      <c r="U157" t="s">
        <v>398</v>
      </c>
      <c r="V157" t="s">
        <v>398</v>
      </c>
      <c r="W157" t="s">
        <v>220</v>
      </c>
      <c r="X157" t="s">
        <v>407</v>
      </c>
      <c r="Y157" t="s">
        <v>48</v>
      </c>
      <c r="Z157" t="s">
        <v>409</v>
      </c>
      <c r="AA157" t="s">
        <v>393</v>
      </c>
      <c r="AB157" t="s">
        <v>12</v>
      </c>
      <c r="AC157" t="s">
        <v>401</v>
      </c>
    </row>
    <row r="158" spans="1:29" x14ac:dyDescent="0.3">
      <c r="A158">
        <v>169</v>
      </c>
      <c r="B158" t="s">
        <v>44</v>
      </c>
      <c r="C158" t="s">
        <v>274</v>
      </c>
      <c r="D158" t="s">
        <v>65</v>
      </c>
      <c r="E158" t="s">
        <v>83</v>
      </c>
      <c r="F158">
        <v>1</v>
      </c>
      <c r="G158">
        <v>2999</v>
      </c>
      <c r="H158">
        <v>0.52</v>
      </c>
      <c r="I158">
        <v>0.05</v>
      </c>
      <c r="J158">
        <v>1370.97</v>
      </c>
      <c r="K158">
        <v>95.238095238095198</v>
      </c>
      <c r="L158">
        <v>1439.5185000000001</v>
      </c>
      <c r="M158">
        <v>2000</v>
      </c>
      <c r="N158">
        <v>2000</v>
      </c>
      <c r="O158" t="s">
        <v>48</v>
      </c>
      <c r="P158">
        <v>1904.7619047619039</v>
      </c>
      <c r="Q158" t="s">
        <v>48</v>
      </c>
      <c r="R158">
        <v>1999.9999999999991</v>
      </c>
      <c r="S158" t="s">
        <v>48</v>
      </c>
      <c r="T158" t="s">
        <v>88</v>
      </c>
      <c r="U158" t="s">
        <v>398</v>
      </c>
      <c r="V158" t="s">
        <v>398</v>
      </c>
      <c r="W158" t="s">
        <v>220</v>
      </c>
      <c r="X158" t="s">
        <v>407</v>
      </c>
      <c r="Y158" t="s">
        <v>48</v>
      </c>
      <c r="Z158" t="s">
        <v>410</v>
      </c>
      <c r="AA158" t="s">
        <v>393</v>
      </c>
      <c r="AB158" t="s">
        <v>12</v>
      </c>
      <c r="AC158" t="s">
        <v>401</v>
      </c>
    </row>
    <row r="159" spans="1:29" x14ac:dyDescent="0.3">
      <c r="A159">
        <v>170</v>
      </c>
      <c r="B159" t="s">
        <v>44</v>
      </c>
      <c r="C159" t="s">
        <v>111</v>
      </c>
      <c r="D159" t="s">
        <v>59</v>
      </c>
      <c r="E159" t="s">
        <v>47</v>
      </c>
      <c r="F159">
        <v>1</v>
      </c>
      <c r="G159">
        <v>4590</v>
      </c>
      <c r="H159">
        <v>0.5</v>
      </c>
      <c r="I159">
        <v>0.18</v>
      </c>
      <c r="J159">
        <v>1944.92</v>
      </c>
      <c r="K159">
        <v>480.50847457627111</v>
      </c>
      <c r="L159">
        <v>2295.0056</v>
      </c>
      <c r="M159">
        <v>3150</v>
      </c>
      <c r="N159">
        <v>3150</v>
      </c>
      <c r="O159" t="s">
        <v>48</v>
      </c>
      <c r="P159">
        <v>2669.4915254237285</v>
      </c>
      <c r="Q159" t="s">
        <v>48</v>
      </c>
      <c r="R159">
        <v>3149.9999999999995</v>
      </c>
      <c r="S159" t="s">
        <v>411</v>
      </c>
      <c r="T159" t="s">
        <v>88</v>
      </c>
      <c r="U159" t="s">
        <v>398</v>
      </c>
      <c r="V159" t="s">
        <v>412</v>
      </c>
      <c r="W159" t="s">
        <v>413</v>
      </c>
      <c r="X159" t="s">
        <v>414</v>
      </c>
      <c r="Y159" t="s">
        <v>48</v>
      </c>
      <c r="Z159" t="s">
        <v>415</v>
      </c>
      <c r="AA159" t="s">
        <v>393</v>
      </c>
      <c r="AB159" t="s">
        <v>12</v>
      </c>
      <c r="AC159" t="s">
        <v>56</v>
      </c>
    </row>
    <row r="160" spans="1:29" x14ac:dyDescent="0.3">
      <c r="A160">
        <v>171</v>
      </c>
      <c r="B160" t="s">
        <v>44</v>
      </c>
      <c r="C160" t="s">
        <v>75</v>
      </c>
      <c r="D160" t="s">
        <v>46</v>
      </c>
      <c r="E160" t="s">
        <v>83</v>
      </c>
      <c r="F160">
        <v>1</v>
      </c>
      <c r="G160">
        <v>1967</v>
      </c>
      <c r="H160">
        <v>0.52</v>
      </c>
      <c r="I160">
        <v>0.05</v>
      </c>
      <c r="J160">
        <v>899.2</v>
      </c>
      <c r="K160">
        <v>65.571428571428541</v>
      </c>
      <c r="L160">
        <v>944.16000000000008</v>
      </c>
      <c r="M160">
        <v>1377</v>
      </c>
      <c r="N160">
        <v>1377</v>
      </c>
      <c r="O160" t="s">
        <v>48</v>
      </c>
      <c r="P160">
        <v>1311.4285714285709</v>
      </c>
      <c r="Q160" t="s">
        <v>48</v>
      </c>
      <c r="R160">
        <v>1376.9999999999993</v>
      </c>
      <c r="S160" t="s">
        <v>48</v>
      </c>
      <c r="T160" t="s">
        <v>88</v>
      </c>
      <c r="U160" t="s">
        <v>398</v>
      </c>
      <c r="V160" t="s">
        <v>398</v>
      </c>
      <c r="W160" t="s">
        <v>220</v>
      </c>
      <c r="X160" t="s">
        <v>407</v>
      </c>
      <c r="Y160" t="s">
        <v>48</v>
      </c>
      <c r="Z160" t="s">
        <v>416</v>
      </c>
      <c r="AA160" t="s">
        <v>393</v>
      </c>
      <c r="AB160" t="s">
        <v>12</v>
      </c>
      <c r="AC160" t="s">
        <v>401</v>
      </c>
    </row>
    <row r="161" spans="1:29" x14ac:dyDescent="0.3">
      <c r="A161">
        <v>172</v>
      </c>
      <c r="B161" t="s">
        <v>68</v>
      </c>
      <c r="C161" t="s">
        <v>69</v>
      </c>
      <c r="D161" t="s">
        <v>59</v>
      </c>
      <c r="E161" t="s">
        <v>83</v>
      </c>
      <c r="F161">
        <v>1</v>
      </c>
      <c r="G161">
        <v>9000</v>
      </c>
      <c r="H161">
        <v>0.52</v>
      </c>
      <c r="I161">
        <v>0.18</v>
      </c>
      <c r="J161">
        <v>3661.02</v>
      </c>
      <c r="K161">
        <v>721.22033898305074</v>
      </c>
      <c r="L161">
        <v>4320.0036</v>
      </c>
      <c r="M161">
        <v>4728</v>
      </c>
      <c r="N161">
        <v>4728</v>
      </c>
      <c r="O161" t="s">
        <v>48</v>
      </c>
      <c r="P161">
        <v>4006.7796610169489</v>
      </c>
      <c r="Q161" t="s">
        <v>48</v>
      </c>
      <c r="R161">
        <v>4728</v>
      </c>
      <c r="S161" t="s">
        <v>417</v>
      </c>
      <c r="T161" t="s">
        <v>88</v>
      </c>
      <c r="U161" t="s">
        <v>398</v>
      </c>
      <c r="V161" t="s">
        <v>412</v>
      </c>
      <c r="W161" t="s">
        <v>413</v>
      </c>
      <c r="X161" t="s">
        <v>418</v>
      </c>
      <c r="Y161" t="s">
        <v>48</v>
      </c>
      <c r="Z161" t="s">
        <v>419</v>
      </c>
      <c r="AA161" t="s">
        <v>393</v>
      </c>
      <c r="AB161" t="s">
        <v>12</v>
      </c>
      <c r="AC161" t="s">
        <v>56</v>
      </c>
    </row>
    <row r="162" spans="1:29" x14ac:dyDescent="0.3">
      <c r="A162">
        <v>173</v>
      </c>
      <c r="B162" t="s">
        <v>68</v>
      </c>
      <c r="C162" t="s">
        <v>114</v>
      </c>
      <c r="D162" t="s">
        <v>59</v>
      </c>
      <c r="E162" t="s">
        <v>83</v>
      </c>
      <c r="F162">
        <v>1</v>
      </c>
      <c r="G162">
        <v>5000</v>
      </c>
      <c r="H162">
        <v>0.52</v>
      </c>
      <c r="I162">
        <v>0.05</v>
      </c>
      <c r="J162">
        <v>2285.71</v>
      </c>
      <c r="K162">
        <v>154.7619047619047</v>
      </c>
      <c r="L162">
        <v>2399.9955</v>
      </c>
      <c r="M162">
        <v>3250</v>
      </c>
      <c r="N162">
        <v>3250</v>
      </c>
      <c r="O162" t="s">
        <v>48</v>
      </c>
      <c r="P162">
        <v>3095.238095238094</v>
      </c>
      <c r="Q162" t="s">
        <v>48</v>
      </c>
      <c r="R162">
        <v>3249.9999999999986</v>
      </c>
      <c r="S162" t="s">
        <v>420</v>
      </c>
      <c r="T162" t="s">
        <v>88</v>
      </c>
      <c r="U162" t="s">
        <v>398</v>
      </c>
      <c r="V162" t="s">
        <v>412</v>
      </c>
      <c r="W162" t="s">
        <v>413</v>
      </c>
      <c r="X162" t="s">
        <v>421</v>
      </c>
      <c r="Y162" t="s">
        <v>48</v>
      </c>
      <c r="Z162" t="s">
        <v>422</v>
      </c>
      <c r="AA162" t="s">
        <v>423</v>
      </c>
      <c r="AB162" t="s">
        <v>12</v>
      </c>
      <c r="AC162" t="s">
        <v>56</v>
      </c>
    </row>
    <row r="163" spans="1:29" x14ac:dyDescent="0.3">
      <c r="A163">
        <v>174</v>
      </c>
      <c r="B163" t="s">
        <v>44</v>
      </c>
      <c r="C163" t="s">
        <v>111</v>
      </c>
      <c r="D163" t="s">
        <v>76</v>
      </c>
      <c r="E163" t="s">
        <v>47</v>
      </c>
      <c r="F163">
        <v>1</v>
      </c>
      <c r="G163">
        <v>4590</v>
      </c>
      <c r="H163">
        <v>0.5</v>
      </c>
      <c r="I163">
        <v>0.18</v>
      </c>
      <c r="J163">
        <v>1944.92</v>
      </c>
      <c r="K163">
        <v>480.50847457627111</v>
      </c>
      <c r="L163">
        <v>2295.0056</v>
      </c>
      <c r="M163">
        <v>3150</v>
      </c>
      <c r="N163">
        <v>3150</v>
      </c>
      <c r="O163" t="s">
        <v>48</v>
      </c>
      <c r="P163">
        <v>2669.4915254237285</v>
      </c>
      <c r="Q163" t="s">
        <v>48</v>
      </c>
      <c r="R163">
        <v>3149.9999999999995</v>
      </c>
      <c r="S163" t="s">
        <v>424</v>
      </c>
      <c r="T163" t="s">
        <v>88</v>
      </c>
      <c r="U163" t="s">
        <v>398</v>
      </c>
      <c r="V163" t="s">
        <v>412</v>
      </c>
      <c r="W163" t="s">
        <v>413</v>
      </c>
      <c r="X163" t="s">
        <v>425</v>
      </c>
      <c r="Y163" t="s">
        <v>48</v>
      </c>
      <c r="Z163" t="s">
        <v>426</v>
      </c>
      <c r="AA163" t="s">
        <v>423</v>
      </c>
      <c r="AB163" t="s">
        <v>12</v>
      </c>
      <c r="AC163" t="s">
        <v>56</v>
      </c>
    </row>
    <row r="164" spans="1:29" x14ac:dyDescent="0.3">
      <c r="A164">
        <v>175</v>
      </c>
      <c r="B164" t="s">
        <v>44</v>
      </c>
      <c r="C164" t="s">
        <v>45</v>
      </c>
      <c r="D164" t="s">
        <v>46</v>
      </c>
      <c r="E164" t="s">
        <v>83</v>
      </c>
      <c r="F164">
        <v>1</v>
      </c>
      <c r="G164">
        <v>2207</v>
      </c>
      <c r="H164">
        <v>0.52</v>
      </c>
      <c r="I164">
        <v>0.05</v>
      </c>
      <c r="J164">
        <v>1008.91</v>
      </c>
      <c r="K164">
        <v>68.3333333333333</v>
      </c>
      <c r="L164">
        <v>1059.3554999999999</v>
      </c>
      <c r="M164">
        <v>1435</v>
      </c>
      <c r="N164">
        <v>1435</v>
      </c>
      <c r="O164" t="s">
        <v>48</v>
      </c>
      <c r="P164">
        <v>1366.6666666666661</v>
      </c>
      <c r="Q164" t="s">
        <v>48</v>
      </c>
      <c r="R164">
        <v>1434.9999999999993</v>
      </c>
      <c r="S164" t="s">
        <v>427</v>
      </c>
      <c r="T164" t="s">
        <v>88</v>
      </c>
      <c r="U164" t="s">
        <v>398</v>
      </c>
      <c r="V164" t="s">
        <v>412</v>
      </c>
      <c r="W164" t="s">
        <v>413</v>
      </c>
      <c r="X164" t="s">
        <v>428</v>
      </c>
      <c r="Y164" t="s">
        <v>48</v>
      </c>
      <c r="Z164" t="s">
        <v>429</v>
      </c>
      <c r="AA164" t="s">
        <v>423</v>
      </c>
      <c r="AB164" t="s">
        <v>12</v>
      </c>
      <c r="AC164" t="s">
        <v>56</v>
      </c>
    </row>
    <row r="165" spans="1:29" x14ac:dyDescent="0.3">
      <c r="A165">
        <v>176</v>
      </c>
      <c r="B165" t="s">
        <v>44</v>
      </c>
      <c r="C165" t="s">
        <v>274</v>
      </c>
      <c r="D165" t="s">
        <v>59</v>
      </c>
      <c r="E165" t="s">
        <v>83</v>
      </c>
      <c r="F165">
        <v>1</v>
      </c>
      <c r="G165">
        <v>2999</v>
      </c>
      <c r="H165">
        <v>0.52</v>
      </c>
      <c r="I165">
        <v>0.05</v>
      </c>
      <c r="J165">
        <v>1370.97</v>
      </c>
      <c r="K165">
        <v>99.999999999999957</v>
      </c>
      <c r="L165">
        <v>1439.5185000000001</v>
      </c>
      <c r="M165">
        <v>2100</v>
      </c>
      <c r="N165">
        <v>2100</v>
      </c>
      <c r="O165" t="s">
        <v>48</v>
      </c>
      <c r="P165">
        <v>1999.9999999999991</v>
      </c>
      <c r="Q165" t="s">
        <v>48</v>
      </c>
      <c r="R165">
        <v>2099.9999999999991</v>
      </c>
      <c r="S165" t="s">
        <v>48</v>
      </c>
      <c r="T165" t="s">
        <v>88</v>
      </c>
      <c r="U165" t="s">
        <v>398</v>
      </c>
      <c r="V165" t="s">
        <v>398</v>
      </c>
      <c r="W165" t="s">
        <v>430</v>
      </c>
      <c r="X165" t="s">
        <v>431</v>
      </c>
      <c r="Y165" t="s">
        <v>48</v>
      </c>
      <c r="Z165" t="s">
        <v>432</v>
      </c>
      <c r="AA165" t="s">
        <v>423</v>
      </c>
      <c r="AB165" t="s">
        <v>12</v>
      </c>
      <c r="AC165" t="s">
        <v>401</v>
      </c>
    </row>
    <row r="166" spans="1:29" x14ac:dyDescent="0.3">
      <c r="A166">
        <v>177</v>
      </c>
      <c r="B166" t="s">
        <v>44</v>
      </c>
      <c r="C166" t="s">
        <v>111</v>
      </c>
      <c r="D166" t="s">
        <v>99</v>
      </c>
      <c r="E166" t="s">
        <v>47</v>
      </c>
      <c r="F166">
        <v>1</v>
      </c>
      <c r="G166">
        <v>4590</v>
      </c>
      <c r="H166">
        <v>0.5</v>
      </c>
      <c r="I166">
        <v>0.18</v>
      </c>
      <c r="J166">
        <v>1944.92</v>
      </c>
      <c r="K166">
        <v>480.50847457627111</v>
      </c>
      <c r="L166">
        <v>2295.0056</v>
      </c>
      <c r="M166">
        <v>3150</v>
      </c>
      <c r="N166">
        <v>3150</v>
      </c>
      <c r="O166" t="s">
        <v>48</v>
      </c>
      <c r="P166">
        <v>2669.4915254237285</v>
      </c>
      <c r="Q166" t="s">
        <v>48</v>
      </c>
      <c r="R166">
        <v>3149.9999999999995</v>
      </c>
      <c r="S166" t="s">
        <v>433</v>
      </c>
      <c r="T166" t="s">
        <v>88</v>
      </c>
      <c r="U166" t="s">
        <v>398</v>
      </c>
      <c r="V166" t="s">
        <v>412</v>
      </c>
      <c r="W166" t="s">
        <v>413</v>
      </c>
      <c r="X166" t="s">
        <v>434</v>
      </c>
      <c r="Y166" t="s">
        <v>48</v>
      </c>
      <c r="Z166" t="s">
        <v>435</v>
      </c>
      <c r="AA166" t="s">
        <v>423</v>
      </c>
      <c r="AB166" t="s">
        <v>12</v>
      </c>
      <c r="AC166" t="s">
        <v>56</v>
      </c>
    </row>
    <row r="167" spans="1:29" x14ac:dyDescent="0.3">
      <c r="A167">
        <v>178</v>
      </c>
      <c r="B167" t="s">
        <v>44</v>
      </c>
      <c r="C167" t="s">
        <v>64</v>
      </c>
      <c r="D167" t="s">
        <v>117</v>
      </c>
      <c r="E167" t="s">
        <v>47</v>
      </c>
      <c r="F167">
        <v>1</v>
      </c>
      <c r="G167">
        <v>4500</v>
      </c>
      <c r="H167">
        <v>0.5</v>
      </c>
      <c r="I167">
        <v>0.05</v>
      </c>
      <c r="J167">
        <v>2142.86</v>
      </c>
      <c r="K167">
        <v>142.8571428571428</v>
      </c>
      <c r="L167">
        <v>2250.0030000000002</v>
      </c>
      <c r="M167">
        <v>3000</v>
      </c>
      <c r="N167">
        <v>3000</v>
      </c>
      <c r="O167" t="s">
        <v>48</v>
      </c>
      <c r="P167">
        <v>2857.142857142856</v>
      </c>
      <c r="Q167" t="s">
        <v>48</v>
      </c>
      <c r="R167">
        <v>2999.9999999999986</v>
      </c>
      <c r="S167" t="s">
        <v>374</v>
      </c>
      <c r="T167" t="s">
        <v>34</v>
      </c>
      <c r="U167" t="s">
        <v>374</v>
      </c>
      <c r="V167" t="s">
        <v>374</v>
      </c>
      <c r="W167" t="s">
        <v>375</v>
      </c>
      <c r="X167" t="s">
        <v>376</v>
      </c>
      <c r="Y167" t="s">
        <v>436</v>
      </c>
      <c r="Z167" t="s">
        <v>437</v>
      </c>
      <c r="AA167" t="s">
        <v>423</v>
      </c>
      <c r="AB167" t="s">
        <v>12</v>
      </c>
      <c r="AC167" t="s">
        <v>56</v>
      </c>
    </row>
    <row r="168" spans="1:29" x14ac:dyDescent="0.3">
      <c r="A168">
        <v>179</v>
      </c>
      <c r="B168" t="s">
        <v>68</v>
      </c>
      <c r="C168" t="s">
        <v>141</v>
      </c>
      <c r="D168" t="s">
        <v>65</v>
      </c>
      <c r="E168" t="s">
        <v>83</v>
      </c>
      <c r="F168">
        <v>1</v>
      </c>
      <c r="G168">
        <v>7011</v>
      </c>
      <c r="H168">
        <v>0.52</v>
      </c>
      <c r="I168">
        <v>0.18</v>
      </c>
      <c r="J168">
        <v>2851.93</v>
      </c>
      <c r="K168">
        <v>641.59322033898297</v>
      </c>
      <c r="L168">
        <v>3365.2773999999999</v>
      </c>
      <c r="M168">
        <v>4206</v>
      </c>
      <c r="N168">
        <v>4206</v>
      </c>
      <c r="O168" t="s">
        <v>48</v>
      </c>
      <c r="P168">
        <v>3564.4067796610166</v>
      </c>
      <c r="Q168" t="s">
        <v>48</v>
      </c>
      <c r="R168">
        <v>4206</v>
      </c>
      <c r="S168" t="s">
        <v>48</v>
      </c>
      <c r="T168" t="s">
        <v>88</v>
      </c>
      <c r="U168" t="s">
        <v>398</v>
      </c>
      <c r="V168" t="s">
        <v>398</v>
      </c>
      <c r="W168" t="s">
        <v>430</v>
      </c>
      <c r="X168" t="s">
        <v>431</v>
      </c>
      <c r="Y168" t="s">
        <v>48</v>
      </c>
      <c r="Z168" t="s">
        <v>438</v>
      </c>
      <c r="AA168" t="s">
        <v>423</v>
      </c>
      <c r="AB168" t="s">
        <v>12</v>
      </c>
      <c r="AC168" t="s">
        <v>401</v>
      </c>
    </row>
    <row r="169" spans="1:29" x14ac:dyDescent="0.3">
      <c r="A169">
        <v>180</v>
      </c>
      <c r="B169" t="s">
        <v>44</v>
      </c>
      <c r="C169" t="s">
        <v>57</v>
      </c>
      <c r="D169" t="s">
        <v>59</v>
      </c>
      <c r="E169" t="s">
        <v>83</v>
      </c>
      <c r="F169">
        <v>1</v>
      </c>
      <c r="G169">
        <v>1967</v>
      </c>
      <c r="H169">
        <v>0.52</v>
      </c>
      <c r="I169">
        <v>0.05</v>
      </c>
      <c r="J169">
        <v>899.2</v>
      </c>
      <c r="K169">
        <v>65.571428571428541</v>
      </c>
      <c r="L169">
        <v>944.16000000000008</v>
      </c>
      <c r="M169">
        <v>1377</v>
      </c>
      <c r="N169">
        <v>1377</v>
      </c>
      <c r="O169" t="s">
        <v>48</v>
      </c>
      <c r="P169">
        <v>1311.4285714285709</v>
      </c>
      <c r="Q169" t="s">
        <v>48</v>
      </c>
      <c r="R169">
        <v>1376.9999999999993</v>
      </c>
      <c r="S169" t="s">
        <v>439</v>
      </c>
      <c r="T169" t="s">
        <v>88</v>
      </c>
      <c r="U169" t="s">
        <v>398</v>
      </c>
      <c r="V169" t="s">
        <v>412</v>
      </c>
      <c r="W169" t="s">
        <v>413</v>
      </c>
      <c r="X169" t="s">
        <v>440</v>
      </c>
      <c r="Y169" t="s">
        <v>48</v>
      </c>
      <c r="Z169" t="s">
        <v>441</v>
      </c>
      <c r="AA169" t="s">
        <v>423</v>
      </c>
      <c r="AB169" t="s">
        <v>12</v>
      </c>
      <c r="AC169" t="s">
        <v>56</v>
      </c>
    </row>
    <row r="170" spans="1:29" x14ac:dyDescent="0.3">
      <c r="A170">
        <v>181</v>
      </c>
      <c r="B170" t="s">
        <v>44</v>
      </c>
      <c r="C170" t="s">
        <v>274</v>
      </c>
      <c r="D170" t="s">
        <v>99</v>
      </c>
      <c r="E170" t="s">
        <v>83</v>
      </c>
      <c r="F170">
        <v>1</v>
      </c>
      <c r="G170">
        <v>2999</v>
      </c>
      <c r="H170">
        <v>0.52</v>
      </c>
      <c r="I170">
        <v>0.05</v>
      </c>
      <c r="J170">
        <v>1370.97</v>
      </c>
      <c r="K170">
        <v>85.666666666666629</v>
      </c>
      <c r="L170">
        <v>1439.5185000000001</v>
      </c>
      <c r="M170">
        <v>1799</v>
      </c>
      <c r="N170">
        <v>1799</v>
      </c>
      <c r="O170" t="s">
        <v>48</v>
      </c>
      <c r="P170">
        <v>1713.3333333333326</v>
      </c>
      <c r="Q170" t="s">
        <v>48</v>
      </c>
      <c r="R170">
        <v>1798.9999999999991</v>
      </c>
      <c r="S170" t="s">
        <v>442</v>
      </c>
      <c r="T170" t="s">
        <v>88</v>
      </c>
      <c r="U170" t="s">
        <v>398</v>
      </c>
      <c r="V170" t="s">
        <v>412</v>
      </c>
      <c r="W170" t="s">
        <v>413</v>
      </c>
      <c r="X170" t="s">
        <v>443</v>
      </c>
      <c r="Y170" t="s">
        <v>48</v>
      </c>
      <c r="Z170" t="s">
        <v>444</v>
      </c>
      <c r="AA170" t="s">
        <v>423</v>
      </c>
      <c r="AB170" t="s">
        <v>12</v>
      </c>
      <c r="AC170" t="s">
        <v>56</v>
      </c>
    </row>
    <row r="171" spans="1:29" x14ac:dyDescent="0.3">
      <c r="A171">
        <v>182</v>
      </c>
      <c r="B171" t="s">
        <v>44</v>
      </c>
      <c r="C171" t="s">
        <v>45</v>
      </c>
      <c r="D171" t="s">
        <v>59</v>
      </c>
      <c r="E171" t="s">
        <v>47</v>
      </c>
      <c r="F171">
        <v>1</v>
      </c>
      <c r="G171">
        <v>2207</v>
      </c>
      <c r="H171">
        <v>0.5</v>
      </c>
      <c r="I171">
        <v>0.05</v>
      </c>
      <c r="J171">
        <v>1050.95</v>
      </c>
      <c r="K171">
        <v>73.571428571428541</v>
      </c>
      <c r="L171">
        <v>1103.4974999999999</v>
      </c>
      <c r="M171">
        <v>1545</v>
      </c>
      <c r="N171">
        <v>1545</v>
      </c>
      <c r="O171" t="s">
        <v>48</v>
      </c>
      <c r="P171">
        <v>1471.4285714285709</v>
      </c>
      <c r="Q171" t="s">
        <v>48</v>
      </c>
      <c r="R171">
        <v>1544.9999999999993</v>
      </c>
      <c r="S171" t="s">
        <v>445</v>
      </c>
      <c r="T171" t="s">
        <v>88</v>
      </c>
      <c r="U171" t="s">
        <v>398</v>
      </c>
      <c r="V171" t="s">
        <v>398</v>
      </c>
      <c r="W171" t="s">
        <v>430</v>
      </c>
      <c r="X171" t="s">
        <v>431</v>
      </c>
      <c r="Y171" t="s">
        <v>48</v>
      </c>
      <c r="Z171" t="s">
        <v>446</v>
      </c>
      <c r="AA171" t="s">
        <v>423</v>
      </c>
      <c r="AB171" t="s">
        <v>12</v>
      </c>
      <c r="AC171" t="s">
        <v>56</v>
      </c>
    </row>
    <row r="172" spans="1:29" x14ac:dyDescent="0.3">
      <c r="A172">
        <v>183</v>
      </c>
      <c r="B172" t="s">
        <v>44</v>
      </c>
      <c r="C172" t="s">
        <v>45</v>
      </c>
      <c r="D172" t="s">
        <v>59</v>
      </c>
      <c r="E172" t="s">
        <v>47</v>
      </c>
      <c r="F172">
        <v>1</v>
      </c>
      <c r="G172">
        <v>2207</v>
      </c>
      <c r="H172">
        <v>0.5</v>
      </c>
      <c r="I172">
        <v>0.05</v>
      </c>
      <c r="J172">
        <v>1050.95</v>
      </c>
      <c r="K172">
        <v>73.571428571428541</v>
      </c>
      <c r="L172">
        <v>1103.4974999999999</v>
      </c>
      <c r="M172">
        <v>1545</v>
      </c>
      <c r="N172">
        <v>1545</v>
      </c>
      <c r="O172" t="s">
        <v>48</v>
      </c>
      <c r="P172">
        <v>1471.4285714285709</v>
      </c>
      <c r="Q172" t="s">
        <v>48</v>
      </c>
      <c r="R172">
        <v>1544.9999999999993</v>
      </c>
      <c r="S172" t="s">
        <v>445</v>
      </c>
      <c r="T172" t="s">
        <v>88</v>
      </c>
      <c r="U172" t="s">
        <v>398</v>
      </c>
      <c r="V172" t="s">
        <v>398</v>
      </c>
      <c r="W172" t="s">
        <v>430</v>
      </c>
      <c r="X172" t="s">
        <v>431</v>
      </c>
      <c r="Y172" t="s">
        <v>48</v>
      </c>
      <c r="Z172" t="s">
        <v>447</v>
      </c>
      <c r="AA172" t="s">
        <v>423</v>
      </c>
      <c r="AB172" t="s">
        <v>12</v>
      </c>
      <c r="AC172" t="s">
        <v>56</v>
      </c>
    </row>
    <row r="173" spans="1:29" x14ac:dyDescent="0.3">
      <c r="A173">
        <v>184</v>
      </c>
      <c r="B173" t="s">
        <v>68</v>
      </c>
      <c r="C173" t="s">
        <v>69</v>
      </c>
      <c r="D173" t="s">
        <v>76</v>
      </c>
      <c r="E173" t="s">
        <v>47</v>
      </c>
      <c r="F173">
        <v>1</v>
      </c>
      <c r="G173">
        <v>9000</v>
      </c>
      <c r="H173">
        <v>0.5</v>
      </c>
      <c r="I173">
        <v>0.18</v>
      </c>
      <c r="J173">
        <v>3813.75</v>
      </c>
      <c r="K173">
        <v>641.59322033898297</v>
      </c>
      <c r="L173">
        <v>4500.2250000000004</v>
      </c>
      <c r="M173">
        <v>4206</v>
      </c>
      <c r="N173">
        <v>4206</v>
      </c>
      <c r="O173" t="s">
        <v>48</v>
      </c>
      <c r="P173">
        <v>3564.4067796610166</v>
      </c>
      <c r="Q173" t="s">
        <v>48</v>
      </c>
      <c r="R173">
        <v>4206</v>
      </c>
      <c r="S173" t="s">
        <v>448</v>
      </c>
      <c r="T173" t="s">
        <v>88</v>
      </c>
      <c r="U173" t="s">
        <v>398</v>
      </c>
      <c r="V173" t="s">
        <v>412</v>
      </c>
      <c r="W173" t="s">
        <v>413</v>
      </c>
      <c r="X173" t="s">
        <v>449</v>
      </c>
      <c r="Y173" t="s">
        <v>450</v>
      </c>
      <c r="Z173" t="s">
        <v>451</v>
      </c>
      <c r="AA173" t="s">
        <v>423</v>
      </c>
      <c r="AB173" t="s">
        <v>12</v>
      </c>
      <c r="AC173" t="s">
        <v>56</v>
      </c>
    </row>
    <row r="174" spans="1:29" x14ac:dyDescent="0.3">
      <c r="A174">
        <v>185</v>
      </c>
      <c r="B174" t="s">
        <v>44</v>
      </c>
      <c r="C174" t="s">
        <v>274</v>
      </c>
      <c r="D174" t="s">
        <v>59</v>
      </c>
      <c r="E174" t="s">
        <v>83</v>
      </c>
      <c r="F174">
        <v>1</v>
      </c>
      <c r="G174">
        <v>2999</v>
      </c>
      <c r="H174">
        <v>0.52</v>
      </c>
      <c r="I174">
        <v>0.05</v>
      </c>
      <c r="J174">
        <v>1370.97</v>
      </c>
      <c r="K174">
        <v>99.999999999999957</v>
      </c>
      <c r="L174">
        <v>1439.5185000000001</v>
      </c>
      <c r="M174">
        <v>2100</v>
      </c>
      <c r="N174">
        <v>2100</v>
      </c>
      <c r="O174" t="s">
        <v>48</v>
      </c>
      <c r="P174">
        <v>1999.9999999999991</v>
      </c>
      <c r="Q174" t="s">
        <v>48</v>
      </c>
      <c r="R174">
        <v>2099.9999999999991</v>
      </c>
      <c r="S174" t="s">
        <v>48</v>
      </c>
      <c r="T174" t="s">
        <v>88</v>
      </c>
      <c r="U174" t="s">
        <v>398</v>
      </c>
      <c r="V174" t="s">
        <v>398</v>
      </c>
      <c r="W174" t="s">
        <v>430</v>
      </c>
      <c r="X174" t="s">
        <v>431</v>
      </c>
      <c r="Y174" t="s">
        <v>48</v>
      </c>
      <c r="Z174" t="s">
        <v>452</v>
      </c>
      <c r="AA174" t="s">
        <v>423</v>
      </c>
      <c r="AB174" t="s">
        <v>12</v>
      </c>
      <c r="AC174" t="s">
        <v>401</v>
      </c>
    </row>
    <row r="175" spans="1:29" x14ac:dyDescent="0.3">
      <c r="A175">
        <v>186</v>
      </c>
      <c r="B175" t="s">
        <v>238</v>
      </c>
      <c r="C175" t="s">
        <v>383</v>
      </c>
      <c r="D175" t="s">
        <v>86</v>
      </c>
      <c r="E175" t="s">
        <v>453</v>
      </c>
      <c r="F175">
        <v>1</v>
      </c>
      <c r="G175">
        <v>2799</v>
      </c>
      <c r="H175">
        <v>0.52</v>
      </c>
      <c r="I175">
        <v>0.05</v>
      </c>
      <c r="J175">
        <v>1279.54</v>
      </c>
      <c r="K175">
        <v>79.999999999999972</v>
      </c>
      <c r="L175">
        <v>1343.5170000000001</v>
      </c>
      <c r="M175">
        <v>1680</v>
      </c>
      <c r="N175">
        <v>1680</v>
      </c>
      <c r="O175" t="s">
        <v>48</v>
      </c>
      <c r="P175">
        <v>1599.9999999999993</v>
      </c>
      <c r="Q175" t="s">
        <v>48</v>
      </c>
      <c r="R175">
        <v>1679.9999999999993</v>
      </c>
      <c r="S175" t="s">
        <v>454</v>
      </c>
      <c r="T175" t="s">
        <v>88</v>
      </c>
      <c r="U175" t="s">
        <v>398</v>
      </c>
      <c r="V175" t="s">
        <v>412</v>
      </c>
      <c r="W175" t="s">
        <v>413</v>
      </c>
      <c r="X175" t="s">
        <v>455</v>
      </c>
      <c r="Y175" t="s">
        <v>48</v>
      </c>
      <c r="Z175" t="s">
        <v>456</v>
      </c>
      <c r="AA175" t="s">
        <v>423</v>
      </c>
      <c r="AB175" t="s">
        <v>12</v>
      </c>
      <c r="AC175" t="s">
        <v>56</v>
      </c>
    </row>
    <row r="176" spans="1:29" x14ac:dyDescent="0.3">
      <c r="A176">
        <v>187</v>
      </c>
      <c r="B176" t="s">
        <v>68</v>
      </c>
      <c r="C176" t="s">
        <v>114</v>
      </c>
      <c r="D176" t="s">
        <v>117</v>
      </c>
      <c r="E176" t="s">
        <v>83</v>
      </c>
      <c r="F176">
        <v>1</v>
      </c>
      <c r="G176">
        <v>5000</v>
      </c>
      <c r="H176">
        <v>0.52</v>
      </c>
      <c r="I176">
        <v>0.05</v>
      </c>
      <c r="J176">
        <v>2285.71</v>
      </c>
      <c r="K176">
        <v>142.8571428571428</v>
      </c>
      <c r="L176">
        <v>2399.9955</v>
      </c>
      <c r="M176">
        <v>3000</v>
      </c>
      <c r="N176">
        <v>3000</v>
      </c>
      <c r="O176" t="s">
        <v>48</v>
      </c>
      <c r="P176">
        <v>2857.142857142856</v>
      </c>
      <c r="Q176" t="s">
        <v>48</v>
      </c>
      <c r="R176">
        <v>2999.9999999999986</v>
      </c>
      <c r="S176" t="s">
        <v>457</v>
      </c>
      <c r="T176" t="s">
        <v>88</v>
      </c>
      <c r="U176" t="s">
        <v>398</v>
      </c>
      <c r="V176" t="s">
        <v>412</v>
      </c>
      <c r="W176" t="s">
        <v>413</v>
      </c>
      <c r="X176" t="s">
        <v>458</v>
      </c>
      <c r="Y176" t="s">
        <v>48</v>
      </c>
      <c r="Z176" t="s">
        <v>459</v>
      </c>
      <c r="AA176" t="s">
        <v>423</v>
      </c>
      <c r="AB176" t="s">
        <v>12</v>
      </c>
      <c r="AC176" t="s">
        <v>56</v>
      </c>
    </row>
    <row r="177" spans="1:29" x14ac:dyDescent="0.3">
      <c r="A177">
        <v>188</v>
      </c>
      <c r="B177" t="s">
        <v>44</v>
      </c>
      <c r="C177" t="s">
        <v>57</v>
      </c>
      <c r="D177" t="s">
        <v>76</v>
      </c>
      <c r="E177" t="s">
        <v>83</v>
      </c>
      <c r="F177">
        <v>1</v>
      </c>
      <c r="G177">
        <v>1967</v>
      </c>
      <c r="H177">
        <v>0.52</v>
      </c>
      <c r="I177">
        <v>0.05</v>
      </c>
      <c r="J177">
        <v>899.2</v>
      </c>
      <c r="K177">
        <v>56.238095238095219</v>
      </c>
      <c r="L177">
        <v>944.16000000000008</v>
      </c>
      <c r="M177">
        <v>1181</v>
      </c>
      <c r="N177">
        <v>1181</v>
      </c>
      <c r="O177" t="s">
        <v>48</v>
      </c>
      <c r="P177">
        <v>1124.7619047619044</v>
      </c>
      <c r="Q177" t="s">
        <v>48</v>
      </c>
      <c r="R177">
        <v>1180.9999999999995</v>
      </c>
      <c r="S177" t="s">
        <v>48</v>
      </c>
      <c r="T177" t="s">
        <v>88</v>
      </c>
      <c r="U177" t="s">
        <v>398</v>
      </c>
      <c r="V177" t="s">
        <v>398</v>
      </c>
      <c r="W177" t="s">
        <v>430</v>
      </c>
      <c r="X177" t="s">
        <v>431</v>
      </c>
      <c r="Y177" t="s">
        <v>48</v>
      </c>
      <c r="Z177" t="s">
        <v>460</v>
      </c>
      <c r="AA177" t="s">
        <v>423</v>
      </c>
      <c r="AB177" t="s">
        <v>12</v>
      </c>
      <c r="AC177" t="s">
        <v>401</v>
      </c>
    </row>
    <row r="178" spans="1:29" x14ac:dyDescent="0.3">
      <c r="A178">
        <v>189</v>
      </c>
      <c r="B178" t="s">
        <v>44</v>
      </c>
      <c r="C178" t="s">
        <v>45</v>
      </c>
      <c r="D178" t="s">
        <v>117</v>
      </c>
      <c r="E178" t="s">
        <v>47</v>
      </c>
      <c r="F178">
        <v>1</v>
      </c>
      <c r="G178">
        <v>2207</v>
      </c>
      <c r="H178">
        <v>0.5</v>
      </c>
      <c r="I178">
        <v>0.05</v>
      </c>
      <c r="J178">
        <v>1050.95</v>
      </c>
      <c r="K178">
        <v>63.095238095238074</v>
      </c>
      <c r="L178">
        <v>1103.4974999999999</v>
      </c>
      <c r="M178">
        <v>1325</v>
      </c>
      <c r="N178">
        <v>1325</v>
      </c>
      <c r="O178" t="s">
        <v>48</v>
      </c>
      <c r="P178">
        <v>1261.9047619047615</v>
      </c>
      <c r="Q178" t="s">
        <v>48</v>
      </c>
      <c r="R178">
        <v>1324.9999999999995</v>
      </c>
      <c r="S178" t="s">
        <v>461</v>
      </c>
      <c r="T178" t="s">
        <v>88</v>
      </c>
      <c r="U178" t="s">
        <v>398</v>
      </c>
      <c r="V178" t="s">
        <v>412</v>
      </c>
      <c r="W178" t="s">
        <v>413</v>
      </c>
      <c r="X178" t="s">
        <v>462</v>
      </c>
      <c r="Y178" t="s">
        <v>48</v>
      </c>
      <c r="Z178" t="s">
        <v>463</v>
      </c>
      <c r="AA178" t="s">
        <v>423</v>
      </c>
      <c r="AB178" t="s">
        <v>12</v>
      </c>
      <c r="AC178" t="s">
        <v>56</v>
      </c>
    </row>
    <row r="179" spans="1:29" x14ac:dyDescent="0.3">
      <c r="A179">
        <v>190</v>
      </c>
      <c r="B179" t="s">
        <v>238</v>
      </c>
      <c r="C179" t="s">
        <v>383</v>
      </c>
      <c r="D179" t="s">
        <v>65</v>
      </c>
      <c r="E179" t="s">
        <v>453</v>
      </c>
      <c r="F179">
        <v>1</v>
      </c>
      <c r="G179">
        <v>2799</v>
      </c>
      <c r="H179">
        <v>0.52</v>
      </c>
      <c r="I179">
        <v>0.05</v>
      </c>
      <c r="J179">
        <v>1279.54</v>
      </c>
      <c r="K179">
        <v>66.666666666666643</v>
      </c>
      <c r="L179">
        <v>1343.5170000000001</v>
      </c>
      <c r="M179">
        <v>1400</v>
      </c>
      <c r="N179">
        <v>1400</v>
      </c>
      <c r="O179" t="s">
        <v>48</v>
      </c>
      <c r="P179">
        <v>1333.3333333333328</v>
      </c>
      <c r="Q179" t="s">
        <v>48</v>
      </c>
      <c r="R179">
        <v>1399.9999999999995</v>
      </c>
      <c r="S179" t="s">
        <v>464</v>
      </c>
      <c r="T179" t="s">
        <v>88</v>
      </c>
      <c r="U179" t="s">
        <v>398</v>
      </c>
      <c r="V179" t="s">
        <v>412</v>
      </c>
      <c r="W179" t="s">
        <v>413</v>
      </c>
      <c r="X179" t="s">
        <v>465</v>
      </c>
      <c r="Y179" t="s">
        <v>48</v>
      </c>
      <c r="Z179" t="s">
        <v>466</v>
      </c>
      <c r="AA179" t="s">
        <v>423</v>
      </c>
      <c r="AB179" t="s">
        <v>12</v>
      </c>
      <c r="AC179" t="s">
        <v>56</v>
      </c>
    </row>
    <row r="180" spans="1:29" x14ac:dyDescent="0.3">
      <c r="A180">
        <v>198</v>
      </c>
      <c r="B180" t="s">
        <v>68</v>
      </c>
      <c r="C180" t="s">
        <v>114</v>
      </c>
      <c r="D180" t="s">
        <v>59</v>
      </c>
      <c r="E180" t="s">
        <v>83</v>
      </c>
      <c r="F180">
        <v>1</v>
      </c>
      <c r="G180">
        <v>5000</v>
      </c>
      <c r="H180">
        <v>0.52</v>
      </c>
      <c r="I180">
        <v>0.05</v>
      </c>
      <c r="J180">
        <v>2285.71</v>
      </c>
      <c r="K180">
        <v>142.8571428571428</v>
      </c>
      <c r="L180">
        <v>2399.9955</v>
      </c>
      <c r="M180">
        <v>3000</v>
      </c>
      <c r="N180">
        <v>3000</v>
      </c>
      <c r="O180" t="s">
        <v>48</v>
      </c>
      <c r="P180">
        <v>2857.142857142856</v>
      </c>
      <c r="Q180" t="s">
        <v>48</v>
      </c>
      <c r="R180">
        <v>2999.9999999999986</v>
      </c>
      <c r="S180" t="s">
        <v>336</v>
      </c>
      <c r="T180" t="s">
        <v>88</v>
      </c>
      <c r="U180" t="s">
        <v>320</v>
      </c>
      <c r="V180" t="s">
        <v>320</v>
      </c>
      <c r="W180" t="s">
        <v>337</v>
      </c>
      <c r="X180" t="s">
        <v>361</v>
      </c>
      <c r="Y180" t="s">
        <v>48</v>
      </c>
      <c r="Z180" t="s">
        <v>467</v>
      </c>
      <c r="AA180" t="s">
        <v>468</v>
      </c>
      <c r="AB180" t="s">
        <v>12</v>
      </c>
      <c r="AC180" t="s">
        <v>56</v>
      </c>
    </row>
    <row r="181" spans="1:29" x14ac:dyDescent="0.3">
      <c r="A181">
        <v>199</v>
      </c>
      <c r="B181" t="s">
        <v>68</v>
      </c>
      <c r="C181" t="s">
        <v>69</v>
      </c>
      <c r="D181" t="s">
        <v>59</v>
      </c>
      <c r="E181" t="s">
        <v>83</v>
      </c>
      <c r="F181">
        <v>1</v>
      </c>
      <c r="G181">
        <v>9000</v>
      </c>
      <c r="H181">
        <v>0.52</v>
      </c>
      <c r="I181">
        <v>0.18</v>
      </c>
      <c r="J181">
        <v>3661.02</v>
      </c>
      <c r="K181">
        <v>823.72881355932191</v>
      </c>
      <c r="L181">
        <v>4320.0036</v>
      </c>
      <c r="M181">
        <v>5400</v>
      </c>
      <c r="N181">
        <v>5400</v>
      </c>
      <c r="O181" t="s">
        <v>48</v>
      </c>
      <c r="P181">
        <v>4576.2711864406774</v>
      </c>
      <c r="Q181" t="s">
        <v>48</v>
      </c>
      <c r="R181">
        <v>5399.9999999999991</v>
      </c>
      <c r="S181" t="s">
        <v>469</v>
      </c>
      <c r="T181" t="s">
        <v>88</v>
      </c>
      <c r="U181" t="s">
        <v>320</v>
      </c>
      <c r="V181" t="s">
        <v>320</v>
      </c>
      <c r="W181" t="s">
        <v>337</v>
      </c>
      <c r="X181" t="s">
        <v>470</v>
      </c>
      <c r="Y181" t="s">
        <v>48</v>
      </c>
      <c r="Z181" t="s">
        <v>471</v>
      </c>
      <c r="AA181" t="s">
        <v>468</v>
      </c>
      <c r="AB181" t="s">
        <v>12</v>
      </c>
      <c r="AC181" t="s">
        <v>56</v>
      </c>
    </row>
    <row r="182" spans="1:29" x14ac:dyDescent="0.3">
      <c r="A182">
        <v>200</v>
      </c>
      <c r="B182" t="s">
        <v>68</v>
      </c>
      <c r="C182" t="s">
        <v>69</v>
      </c>
      <c r="D182" t="s">
        <v>65</v>
      </c>
      <c r="E182" t="s">
        <v>453</v>
      </c>
      <c r="F182">
        <v>1</v>
      </c>
      <c r="G182">
        <v>9000</v>
      </c>
      <c r="H182">
        <v>0.52</v>
      </c>
      <c r="I182">
        <v>0.18</v>
      </c>
      <c r="J182">
        <v>3661.02</v>
      </c>
      <c r="K182">
        <v>641.68474576271183</v>
      </c>
      <c r="L182">
        <v>4320.0036</v>
      </c>
      <c r="M182">
        <v>4206.6000000000004</v>
      </c>
      <c r="N182">
        <v>4206.6000000000004</v>
      </c>
      <c r="O182" t="s">
        <v>48</v>
      </c>
      <c r="P182">
        <v>3564.9152542372881</v>
      </c>
      <c r="Q182" t="s">
        <v>48</v>
      </c>
      <c r="R182">
        <v>4206.6000000000004</v>
      </c>
      <c r="S182" t="s">
        <v>48</v>
      </c>
      <c r="T182" t="s">
        <v>88</v>
      </c>
      <c r="U182" t="s">
        <v>320</v>
      </c>
      <c r="V182" t="s">
        <v>320</v>
      </c>
      <c r="W182" t="s">
        <v>337</v>
      </c>
      <c r="X182" t="s">
        <v>472</v>
      </c>
      <c r="Y182" t="s">
        <v>450</v>
      </c>
      <c r="Z182" t="s">
        <v>473</v>
      </c>
      <c r="AA182" t="s">
        <v>468</v>
      </c>
      <c r="AB182" t="s">
        <v>12</v>
      </c>
      <c r="AC182" t="s">
        <v>401</v>
      </c>
    </row>
    <row r="183" spans="1:29" x14ac:dyDescent="0.3">
      <c r="A183">
        <v>201</v>
      </c>
      <c r="B183" t="s">
        <v>238</v>
      </c>
      <c r="C183" t="s">
        <v>383</v>
      </c>
      <c r="D183" t="s">
        <v>65</v>
      </c>
      <c r="E183" t="s">
        <v>453</v>
      </c>
      <c r="F183">
        <v>1</v>
      </c>
      <c r="G183">
        <v>2799</v>
      </c>
      <c r="H183">
        <v>0.52</v>
      </c>
      <c r="I183">
        <v>0.05</v>
      </c>
      <c r="J183">
        <v>1279.54</v>
      </c>
      <c r="K183">
        <v>93.285714285714249</v>
      </c>
      <c r="L183">
        <v>1343.5170000000001</v>
      </c>
      <c r="M183">
        <v>1959.3</v>
      </c>
      <c r="N183">
        <v>1959</v>
      </c>
      <c r="O183" t="s">
        <v>48</v>
      </c>
      <c r="P183">
        <v>1865.7142857142849</v>
      </c>
      <c r="Q183" t="s">
        <v>48</v>
      </c>
      <c r="R183">
        <v>1958.9999999999991</v>
      </c>
      <c r="S183" t="s">
        <v>474</v>
      </c>
      <c r="T183" t="s">
        <v>50</v>
      </c>
      <c r="U183" t="s">
        <v>474</v>
      </c>
      <c r="V183" t="s">
        <v>474</v>
      </c>
      <c r="W183" t="s">
        <v>475</v>
      </c>
      <c r="X183" t="s">
        <v>476</v>
      </c>
      <c r="Y183" t="s">
        <v>48</v>
      </c>
      <c r="Z183" t="s">
        <v>477</v>
      </c>
      <c r="AA183" t="s">
        <v>468</v>
      </c>
      <c r="AB183" t="s">
        <v>12</v>
      </c>
      <c r="AC183" t="s">
        <v>56</v>
      </c>
    </row>
    <row r="184" spans="1:29" x14ac:dyDescent="0.3">
      <c r="A184">
        <v>202</v>
      </c>
      <c r="B184" t="s">
        <v>232</v>
      </c>
      <c r="C184" t="s">
        <v>233</v>
      </c>
      <c r="D184" t="s">
        <v>65</v>
      </c>
      <c r="E184" t="s">
        <v>453</v>
      </c>
      <c r="F184">
        <v>1</v>
      </c>
      <c r="G184">
        <v>5200</v>
      </c>
      <c r="H184">
        <v>0.52</v>
      </c>
      <c r="I184">
        <v>0.18</v>
      </c>
      <c r="J184">
        <v>2377.14</v>
      </c>
      <c r="K184">
        <v>475.93220338983048</v>
      </c>
      <c r="L184">
        <v>2495.9969999999998</v>
      </c>
      <c r="M184">
        <v>3120</v>
      </c>
      <c r="N184">
        <v>3120</v>
      </c>
      <c r="O184" t="s">
        <v>48</v>
      </c>
      <c r="P184">
        <v>2644.0677966101694</v>
      </c>
      <c r="Q184" t="s">
        <v>48</v>
      </c>
      <c r="R184">
        <v>3120</v>
      </c>
      <c r="S184" t="s">
        <v>228</v>
      </c>
      <c r="T184" t="s">
        <v>50</v>
      </c>
      <c r="U184" t="s">
        <v>228</v>
      </c>
      <c r="V184" t="s">
        <v>228</v>
      </c>
      <c r="W184" t="s">
        <v>229</v>
      </c>
      <c r="X184" t="s">
        <v>48</v>
      </c>
      <c r="Y184" t="s">
        <v>48</v>
      </c>
      <c r="Z184" t="s">
        <v>478</v>
      </c>
      <c r="AA184" t="s">
        <v>468</v>
      </c>
      <c r="AB184" t="s">
        <v>12</v>
      </c>
      <c r="AC184" t="s">
        <v>56</v>
      </c>
    </row>
    <row r="185" spans="1:29" x14ac:dyDescent="0.3">
      <c r="A185">
        <v>203</v>
      </c>
      <c r="B185" t="s">
        <v>44</v>
      </c>
      <c r="C185" t="s">
        <v>75</v>
      </c>
      <c r="D185" t="s">
        <v>59</v>
      </c>
      <c r="E185" t="s">
        <v>453</v>
      </c>
      <c r="F185">
        <v>1</v>
      </c>
      <c r="G185">
        <v>1967</v>
      </c>
      <c r="H185">
        <v>0.52</v>
      </c>
      <c r="I185">
        <v>0.05</v>
      </c>
      <c r="J185">
        <v>899.2</v>
      </c>
      <c r="K185">
        <v>65.571428571428541</v>
      </c>
      <c r="L185">
        <v>944.16000000000008</v>
      </c>
      <c r="M185">
        <v>1377</v>
      </c>
      <c r="N185">
        <v>1377</v>
      </c>
      <c r="O185" t="s">
        <v>48</v>
      </c>
      <c r="P185">
        <v>1311.4285714285709</v>
      </c>
      <c r="Q185" t="s">
        <v>48</v>
      </c>
      <c r="R185">
        <v>1376.9999999999993</v>
      </c>
      <c r="S185" t="s">
        <v>479</v>
      </c>
      <c r="T185" t="s">
        <v>88</v>
      </c>
      <c r="U185" t="s">
        <v>479</v>
      </c>
      <c r="V185" t="s">
        <v>479</v>
      </c>
      <c r="W185" t="s">
        <v>131</v>
      </c>
      <c r="X185" t="s">
        <v>480</v>
      </c>
      <c r="Y185" t="s">
        <v>48</v>
      </c>
      <c r="Z185" t="s">
        <v>481</v>
      </c>
      <c r="AA185" t="s">
        <v>482</v>
      </c>
      <c r="AB185" t="s">
        <v>12</v>
      </c>
      <c r="AC185" t="s">
        <v>56</v>
      </c>
    </row>
    <row r="186" spans="1:29" x14ac:dyDescent="0.3">
      <c r="A186">
        <v>204</v>
      </c>
      <c r="B186" t="s">
        <v>44</v>
      </c>
      <c r="C186" t="s">
        <v>45</v>
      </c>
      <c r="D186" t="s">
        <v>76</v>
      </c>
      <c r="E186" t="s">
        <v>47</v>
      </c>
      <c r="F186">
        <v>1</v>
      </c>
      <c r="G186">
        <v>2207</v>
      </c>
      <c r="H186">
        <v>0.5</v>
      </c>
      <c r="I186">
        <v>0.05</v>
      </c>
      <c r="J186">
        <v>1050.95</v>
      </c>
      <c r="K186">
        <v>73.429523809523786</v>
      </c>
      <c r="L186">
        <v>1103.4974999999999</v>
      </c>
      <c r="M186">
        <v>1542.02</v>
      </c>
      <c r="N186">
        <v>1542.02</v>
      </c>
      <c r="O186" t="s">
        <v>48</v>
      </c>
      <c r="P186">
        <v>1468.5904761904756</v>
      </c>
      <c r="Q186" t="s">
        <v>48</v>
      </c>
      <c r="R186">
        <v>1542.0199999999993</v>
      </c>
      <c r="S186" t="s">
        <v>77</v>
      </c>
      <c r="T186" t="s">
        <v>88</v>
      </c>
      <c r="U186" t="s">
        <v>77</v>
      </c>
      <c r="V186" t="s">
        <v>77</v>
      </c>
      <c r="W186" t="s">
        <v>286</v>
      </c>
      <c r="X186" t="s">
        <v>287</v>
      </c>
      <c r="Y186" t="s">
        <v>48</v>
      </c>
      <c r="Z186" t="s">
        <v>483</v>
      </c>
      <c r="AA186" t="s">
        <v>482</v>
      </c>
      <c r="AB186" t="s">
        <v>12</v>
      </c>
      <c r="AC186" t="s">
        <v>56</v>
      </c>
    </row>
    <row r="187" spans="1:29" x14ac:dyDescent="0.3">
      <c r="A187">
        <v>207</v>
      </c>
      <c r="B187" t="s">
        <v>44</v>
      </c>
      <c r="C187" t="s">
        <v>45</v>
      </c>
      <c r="D187" t="s">
        <v>59</v>
      </c>
      <c r="E187" t="s">
        <v>83</v>
      </c>
      <c r="F187">
        <v>1</v>
      </c>
      <c r="G187">
        <v>2207</v>
      </c>
      <c r="H187">
        <v>0.52</v>
      </c>
      <c r="I187">
        <v>0.05</v>
      </c>
      <c r="J187">
        <v>1008.91</v>
      </c>
      <c r="K187">
        <v>73.3333333333333</v>
      </c>
      <c r="L187">
        <v>1059.3554999999999</v>
      </c>
      <c r="M187">
        <v>1540</v>
      </c>
      <c r="N187">
        <v>1540</v>
      </c>
      <c r="O187" t="s">
        <v>48</v>
      </c>
      <c r="P187">
        <v>1466.6666666666661</v>
      </c>
      <c r="Q187" t="s">
        <v>48</v>
      </c>
      <c r="R187">
        <v>1539.9999999999993</v>
      </c>
      <c r="S187" t="s">
        <v>484</v>
      </c>
      <c r="T187" t="s">
        <v>88</v>
      </c>
      <c r="U187" t="s">
        <v>484</v>
      </c>
      <c r="V187" t="s">
        <v>484</v>
      </c>
      <c r="W187" t="s">
        <v>131</v>
      </c>
      <c r="X187" t="s">
        <v>485</v>
      </c>
      <c r="Y187" t="s">
        <v>48</v>
      </c>
      <c r="Z187" t="s">
        <v>486</v>
      </c>
      <c r="AA187" t="s">
        <v>482</v>
      </c>
      <c r="AB187" t="s">
        <v>12</v>
      </c>
      <c r="AC187" t="s">
        <v>56</v>
      </c>
    </row>
    <row r="188" spans="1:29" x14ac:dyDescent="0.3">
      <c r="A188">
        <v>208</v>
      </c>
      <c r="B188" t="s">
        <v>44</v>
      </c>
      <c r="C188" t="s">
        <v>64</v>
      </c>
      <c r="D188" t="s">
        <v>76</v>
      </c>
      <c r="E188" t="s">
        <v>453</v>
      </c>
      <c r="F188">
        <v>1</v>
      </c>
      <c r="G188">
        <v>4500</v>
      </c>
      <c r="H188">
        <v>0.52</v>
      </c>
      <c r="I188">
        <v>0.05</v>
      </c>
      <c r="J188">
        <v>2057.1419999999998</v>
      </c>
      <c r="K188">
        <v>128.57149999999999</v>
      </c>
      <c r="L188">
        <v>2159.9991</v>
      </c>
      <c r="M188">
        <v>2700</v>
      </c>
      <c r="N188">
        <v>2700</v>
      </c>
      <c r="O188" t="s">
        <v>48</v>
      </c>
      <c r="P188">
        <v>2571.4299999999998</v>
      </c>
      <c r="Q188" t="s">
        <v>48</v>
      </c>
      <c r="R188">
        <v>2700.0014999999999</v>
      </c>
      <c r="S188" t="s">
        <v>258</v>
      </c>
      <c r="T188" t="s">
        <v>50</v>
      </c>
      <c r="U188" t="s">
        <v>259</v>
      </c>
      <c r="V188" t="s">
        <v>259</v>
      </c>
      <c r="W188" t="s">
        <v>487</v>
      </c>
      <c r="X188" t="s">
        <v>48</v>
      </c>
      <c r="Y188" t="s">
        <v>48</v>
      </c>
      <c r="Z188" t="s">
        <v>488</v>
      </c>
      <c r="AA188" t="s">
        <v>482</v>
      </c>
      <c r="AB188" t="s">
        <v>12</v>
      </c>
      <c r="AC188" t="s">
        <v>56</v>
      </c>
    </row>
    <row r="189" spans="1:29" x14ac:dyDescent="0.3">
      <c r="A189">
        <v>209</v>
      </c>
      <c r="B189" t="s">
        <v>44</v>
      </c>
      <c r="C189" t="s">
        <v>64</v>
      </c>
      <c r="D189" t="s">
        <v>59</v>
      </c>
      <c r="E189" t="s">
        <v>453</v>
      </c>
      <c r="F189">
        <v>1</v>
      </c>
      <c r="G189">
        <v>4500</v>
      </c>
      <c r="H189">
        <v>0.52</v>
      </c>
      <c r="I189">
        <v>0.05</v>
      </c>
      <c r="J189">
        <v>2057.1419999999998</v>
      </c>
      <c r="K189">
        <v>128.57149999999999</v>
      </c>
      <c r="L189">
        <v>2159.9991</v>
      </c>
      <c r="M189">
        <v>2700</v>
      </c>
      <c r="N189">
        <v>2700</v>
      </c>
      <c r="O189" t="s">
        <v>48</v>
      </c>
      <c r="P189">
        <v>2571.4299999999998</v>
      </c>
      <c r="Q189" t="s">
        <v>48</v>
      </c>
      <c r="R189">
        <v>2700.0014999999999</v>
      </c>
      <c r="S189" t="s">
        <v>258</v>
      </c>
      <c r="T189" t="s">
        <v>50</v>
      </c>
      <c r="U189" t="s">
        <v>259</v>
      </c>
      <c r="V189" t="s">
        <v>259</v>
      </c>
      <c r="W189" t="s">
        <v>487</v>
      </c>
      <c r="X189" t="s">
        <v>48</v>
      </c>
      <c r="Y189" t="s">
        <v>48</v>
      </c>
      <c r="Z189" t="s">
        <v>489</v>
      </c>
      <c r="AA189" t="s">
        <v>482</v>
      </c>
      <c r="AB189" t="s">
        <v>12</v>
      </c>
      <c r="AC189" t="s">
        <v>56</v>
      </c>
    </row>
    <row r="190" spans="1:29" x14ac:dyDescent="0.3">
      <c r="A190">
        <v>210</v>
      </c>
      <c r="B190" t="s">
        <v>44</v>
      </c>
      <c r="C190" t="s">
        <v>64</v>
      </c>
      <c r="D190" t="s">
        <v>65</v>
      </c>
      <c r="E190" t="s">
        <v>453</v>
      </c>
      <c r="F190">
        <v>1</v>
      </c>
      <c r="G190">
        <v>4500</v>
      </c>
      <c r="H190">
        <v>0.52</v>
      </c>
      <c r="I190">
        <v>0.05</v>
      </c>
      <c r="J190">
        <v>2057.1419999999998</v>
      </c>
      <c r="K190">
        <v>128.57149999999999</v>
      </c>
      <c r="L190">
        <v>2159.9991</v>
      </c>
      <c r="M190">
        <v>2700</v>
      </c>
      <c r="N190">
        <v>2700</v>
      </c>
      <c r="O190" t="s">
        <v>48</v>
      </c>
      <c r="P190">
        <v>2571.4299999999998</v>
      </c>
      <c r="Q190" t="s">
        <v>48</v>
      </c>
      <c r="R190">
        <v>2700.0014999999999</v>
      </c>
      <c r="S190" t="s">
        <v>258</v>
      </c>
      <c r="T190" t="s">
        <v>50</v>
      </c>
      <c r="U190" t="s">
        <v>259</v>
      </c>
      <c r="V190" t="s">
        <v>259</v>
      </c>
      <c r="W190" t="s">
        <v>487</v>
      </c>
      <c r="X190" t="s">
        <v>48</v>
      </c>
      <c r="Y190" t="s">
        <v>48</v>
      </c>
      <c r="Z190" t="s">
        <v>490</v>
      </c>
      <c r="AA190" t="s">
        <v>482</v>
      </c>
      <c r="AB190" t="s">
        <v>12</v>
      </c>
      <c r="AC190" t="s">
        <v>56</v>
      </c>
    </row>
    <row r="191" spans="1:29" x14ac:dyDescent="0.3">
      <c r="A191">
        <v>211</v>
      </c>
      <c r="B191" t="s">
        <v>44</v>
      </c>
      <c r="C191" t="s">
        <v>75</v>
      </c>
      <c r="D191" t="s">
        <v>59</v>
      </c>
      <c r="E191" t="s">
        <v>83</v>
      </c>
      <c r="F191">
        <v>1</v>
      </c>
      <c r="G191">
        <v>1967</v>
      </c>
      <c r="H191">
        <v>0.52</v>
      </c>
      <c r="I191">
        <v>0.05</v>
      </c>
      <c r="J191">
        <v>936.67</v>
      </c>
      <c r="K191">
        <v>65.571428571428541</v>
      </c>
      <c r="L191">
        <v>983.50349999999992</v>
      </c>
      <c r="M191">
        <v>1377</v>
      </c>
      <c r="N191">
        <v>1377</v>
      </c>
      <c r="O191" t="s">
        <v>48</v>
      </c>
      <c r="P191">
        <v>1311.4285714285709</v>
      </c>
      <c r="Q191" t="s">
        <v>48</v>
      </c>
      <c r="R191">
        <v>1376.9999999999993</v>
      </c>
      <c r="S191" t="s">
        <v>77</v>
      </c>
      <c r="T191" t="s">
        <v>88</v>
      </c>
      <c r="U191" t="s">
        <v>77</v>
      </c>
      <c r="V191" t="s">
        <v>77</v>
      </c>
      <c r="W191" t="s">
        <v>286</v>
      </c>
      <c r="X191" t="s">
        <v>491</v>
      </c>
      <c r="Y191" t="s">
        <v>48</v>
      </c>
      <c r="Z191" t="s">
        <v>492</v>
      </c>
      <c r="AA191" t="s">
        <v>493</v>
      </c>
      <c r="AB191" t="s">
        <v>12</v>
      </c>
      <c r="AC191" t="s">
        <v>56</v>
      </c>
    </row>
    <row r="192" spans="1:29" x14ac:dyDescent="0.3">
      <c r="A192">
        <v>212</v>
      </c>
      <c r="B192" t="s">
        <v>68</v>
      </c>
      <c r="C192" t="s">
        <v>205</v>
      </c>
      <c r="D192" t="s">
        <v>86</v>
      </c>
      <c r="E192" t="s">
        <v>83</v>
      </c>
      <c r="F192">
        <v>1</v>
      </c>
      <c r="G192">
        <v>8010</v>
      </c>
      <c r="H192">
        <v>0.6</v>
      </c>
      <c r="I192">
        <v>0.18</v>
      </c>
      <c r="J192">
        <v>2918.9</v>
      </c>
      <c r="K192">
        <v>794.28813559322032</v>
      </c>
      <c r="L192">
        <v>3444.3020000000001</v>
      </c>
      <c r="M192">
        <v>5207</v>
      </c>
      <c r="N192">
        <v>5207</v>
      </c>
      <c r="O192" t="s">
        <v>48</v>
      </c>
      <c r="P192">
        <v>4412.7118644067796</v>
      </c>
      <c r="Q192" t="s">
        <v>48</v>
      </c>
      <c r="R192">
        <v>5207</v>
      </c>
      <c r="S192" t="s">
        <v>494</v>
      </c>
      <c r="T192" t="s">
        <v>88</v>
      </c>
      <c r="U192" t="s">
        <v>495</v>
      </c>
      <c r="V192" t="s">
        <v>495</v>
      </c>
      <c r="W192" t="s">
        <v>131</v>
      </c>
      <c r="X192" t="s">
        <v>496</v>
      </c>
      <c r="Y192" t="s">
        <v>48</v>
      </c>
      <c r="Z192" t="s">
        <v>497</v>
      </c>
      <c r="AA192" t="s">
        <v>493</v>
      </c>
      <c r="AB192" t="s">
        <v>12</v>
      </c>
      <c r="AC192" t="s">
        <v>56</v>
      </c>
    </row>
    <row r="193" spans="1:29" x14ac:dyDescent="0.3">
      <c r="A193">
        <v>213</v>
      </c>
      <c r="B193" t="s">
        <v>44</v>
      </c>
      <c r="C193" t="s">
        <v>57</v>
      </c>
      <c r="D193" t="s">
        <v>46</v>
      </c>
      <c r="E193" t="s">
        <v>83</v>
      </c>
      <c r="F193">
        <v>1</v>
      </c>
      <c r="G193">
        <v>1967</v>
      </c>
      <c r="H193">
        <v>0.52</v>
      </c>
      <c r="I193">
        <v>0.05</v>
      </c>
      <c r="J193">
        <v>899.2</v>
      </c>
      <c r="K193">
        <v>56.190476190476176</v>
      </c>
      <c r="L193">
        <v>944.16000000000008</v>
      </c>
      <c r="M193">
        <v>1180</v>
      </c>
      <c r="N193">
        <v>1180</v>
      </c>
      <c r="O193" t="s">
        <v>48</v>
      </c>
      <c r="P193">
        <v>1123.8095238095234</v>
      </c>
      <c r="Q193" t="s">
        <v>48</v>
      </c>
      <c r="R193">
        <v>1179.9999999999995</v>
      </c>
      <c r="S193" t="s">
        <v>498</v>
      </c>
      <c r="T193" t="s">
        <v>88</v>
      </c>
      <c r="U193" t="s">
        <v>499</v>
      </c>
      <c r="V193" t="s">
        <v>500</v>
      </c>
      <c r="W193" t="s">
        <v>220</v>
      </c>
      <c r="X193" t="s">
        <v>501</v>
      </c>
      <c r="Y193" t="s">
        <v>48</v>
      </c>
      <c r="Z193" t="s">
        <v>502</v>
      </c>
      <c r="AA193" t="s">
        <v>493</v>
      </c>
      <c r="AB193" t="s">
        <v>12</v>
      </c>
      <c r="AC193" t="s">
        <v>56</v>
      </c>
    </row>
    <row r="194" spans="1:29" x14ac:dyDescent="0.3">
      <c r="A194">
        <v>214</v>
      </c>
      <c r="B194" t="s">
        <v>232</v>
      </c>
      <c r="C194" t="s">
        <v>233</v>
      </c>
      <c r="D194" t="s">
        <v>86</v>
      </c>
      <c r="E194" t="s">
        <v>453</v>
      </c>
      <c r="F194">
        <v>1</v>
      </c>
      <c r="G194">
        <v>5200</v>
      </c>
      <c r="H194">
        <v>0.52</v>
      </c>
      <c r="I194">
        <v>0.18</v>
      </c>
      <c r="J194">
        <v>2377.14</v>
      </c>
      <c r="K194">
        <v>475.93220338983048</v>
      </c>
      <c r="L194">
        <v>2495.9969999999998</v>
      </c>
      <c r="M194">
        <v>3120</v>
      </c>
      <c r="N194">
        <v>3120</v>
      </c>
      <c r="O194" t="s">
        <v>48</v>
      </c>
      <c r="P194">
        <v>2644.0677966101694</v>
      </c>
      <c r="Q194" t="s">
        <v>48</v>
      </c>
      <c r="R194">
        <v>3120</v>
      </c>
      <c r="S194" t="s">
        <v>228</v>
      </c>
      <c r="T194" t="s">
        <v>50</v>
      </c>
      <c r="U194" t="s">
        <v>228</v>
      </c>
      <c r="V194" t="s">
        <v>228</v>
      </c>
      <c r="W194" t="s">
        <v>229</v>
      </c>
      <c r="X194" t="s">
        <v>48</v>
      </c>
      <c r="Y194" t="s">
        <v>48</v>
      </c>
      <c r="Z194" t="s">
        <v>503</v>
      </c>
      <c r="AA194" t="s">
        <v>493</v>
      </c>
      <c r="AB194" t="s">
        <v>12</v>
      </c>
      <c r="AC194" t="s">
        <v>56</v>
      </c>
    </row>
    <row r="195" spans="1:29" x14ac:dyDescent="0.3">
      <c r="A195">
        <v>215</v>
      </c>
      <c r="B195" t="s">
        <v>44</v>
      </c>
      <c r="C195" t="s">
        <v>57</v>
      </c>
      <c r="D195" t="s">
        <v>76</v>
      </c>
      <c r="E195" t="s">
        <v>83</v>
      </c>
      <c r="F195">
        <v>1</v>
      </c>
      <c r="G195">
        <v>1967</v>
      </c>
      <c r="H195">
        <v>0.52</v>
      </c>
      <c r="I195">
        <v>0.05</v>
      </c>
      <c r="J195">
        <v>899.2</v>
      </c>
      <c r="K195">
        <v>60.883333333333304</v>
      </c>
      <c r="L195">
        <v>944.16000000000008</v>
      </c>
      <c r="M195">
        <v>1278.55</v>
      </c>
      <c r="N195">
        <v>1278.55</v>
      </c>
      <c r="O195" t="s">
        <v>48</v>
      </c>
      <c r="P195">
        <v>1217.6666666666661</v>
      </c>
      <c r="Q195" t="s">
        <v>48</v>
      </c>
      <c r="R195">
        <v>1278.5499999999993</v>
      </c>
      <c r="S195" t="s">
        <v>504</v>
      </c>
      <c r="T195" t="s">
        <v>50</v>
      </c>
      <c r="U195" t="s">
        <v>71</v>
      </c>
      <c r="V195" t="s">
        <v>71</v>
      </c>
      <c r="W195" t="s">
        <v>48</v>
      </c>
      <c r="X195" t="s">
        <v>48</v>
      </c>
      <c r="Y195" t="s">
        <v>48</v>
      </c>
      <c r="Z195" t="s">
        <v>505</v>
      </c>
      <c r="AA195" t="s">
        <v>493</v>
      </c>
      <c r="AB195" t="s">
        <v>12</v>
      </c>
      <c r="AC195" t="s">
        <v>56</v>
      </c>
    </row>
    <row r="196" spans="1:29" x14ac:dyDescent="0.3">
      <c r="A196">
        <v>216</v>
      </c>
      <c r="B196" t="s">
        <v>68</v>
      </c>
      <c r="C196" t="s">
        <v>69</v>
      </c>
      <c r="D196" t="s">
        <v>59</v>
      </c>
      <c r="E196" t="s">
        <v>83</v>
      </c>
      <c r="F196">
        <v>1</v>
      </c>
      <c r="G196">
        <v>9000</v>
      </c>
      <c r="H196">
        <v>0.52</v>
      </c>
      <c r="I196">
        <v>0.18</v>
      </c>
      <c r="J196">
        <v>3661.02</v>
      </c>
      <c r="K196">
        <v>686.4406779661017</v>
      </c>
      <c r="L196">
        <v>4320.0036</v>
      </c>
      <c r="M196">
        <v>4500</v>
      </c>
      <c r="N196">
        <v>4500</v>
      </c>
      <c r="O196" t="s">
        <v>48</v>
      </c>
      <c r="P196">
        <v>3813.5593220338983</v>
      </c>
      <c r="Q196" t="s">
        <v>48</v>
      </c>
      <c r="R196">
        <v>4500</v>
      </c>
      <c r="S196" t="s">
        <v>506</v>
      </c>
      <c r="T196" t="s">
        <v>88</v>
      </c>
      <c r="U196" t="s">
        <v>506</v>
      </c>
      <c r="V196" t="s">
        <v>506</v>
      </c>
      <c r="W196" t="s">
        <v>507</v>
      </c>
      <c r="X196" t="s">
        <v>508</v>
      </c>
      <c r="Y196" t="s">
        <v>48</v>
      </c>
      <c r="Z196" t="s">
        <v>509</v>
      </c>
      <c r="AA196" t="s">
        <v>493</v>
      </c>
      <c r="AB196" t="s">
        <v>12</v>
      </c>
      <c r="AC196" t="s">
        <v>56</v>
      </c>
    </row>
    <row r="197" spans="1:29" x14ac:dyDescent="0.3">
      <c r="A197">
        <v>217</v>
      </c>
      <c r="B197" t="s">
        <v>44</v>
      </c>
      <c r="C197" t="s">
        <v>75</v>
      </c>
      <c r="D197" t="s">
        <v>76</v>
      </c>
      <c r="E197" t="s">
        <v>453</v>
      </c>
      <c r="F197">
        <v>1</v>
      </c>
      <c r="G197">
        <v>1967</v>
      </c>
      <c r="H197">
        <v>0.52</v>
      </c>
      <c r="I197">
        <v>0.05</v>
      </c>
      <c r="J197">
        <v>899.2</v>
      </c>
      <c r="K197">
        <v>60.883333333333304</v>
      </c>
      <c r="L197">
        <v>944.16000000000008</v>
      </c>
      <c r="M197">
        <v>1278.55</v>
      </c>
      <c r="N197">
        <v>1278.55</v>
      </c>
      <c r="O197" t="s">
        <v>48</v>
      </c>
      <c r="P197">
        <v>1217.6666666666661</v>
      </c>
      <c r="Q197" t="s">
        <v>48</v>
      </c>
      <c r="R197">
        <v>1278.5499999999993</v>
      </c>
      <c r="S197" t="s">
        <v>510</v>
      </c>
      <c r="T197" t="s">
        <v>88</v>
      </c>
      <c r="U197" t="s">
        <v>511</v>
      </c>
      <c r="V197" t="s">
        <v>511</v>
      </c>
      <c r="W197" t="s">
        <v>131</v>
      </c>
      <c r="X197" t="s">
        <v>512</v>
      </c>
      <c r="Y197" t="s">
        <v>48</v>
      </c>
      <c r="Z197" t="s">
        <v>513</v>
      </c>
      <c r="AA197" t="s">
        <v>493</v>
      </c>
      <c r="AB197" t="s">
        <v>12</v>
      </c>
      <c r="AC197" t="s">
        <v>56</v>
      </c>
    </row>
    <row r="198" spans="1:29" x14ac:dyDescent="0.3">
      <c r="A198">
        <v>219</v>
      </c>
      <c r="B198" t="s">
        <v>44</v>
      </c>
      <c r="C198" t="s">
        <v>75</v>
      </c>
      <c r="D198" t="s">
        <v>59</v>
      </c>
      <c r="E198" t="s">
        <v>453</v>
      </c>
      <c r="F198">
        <v>1</v>
      </c>
      <c r="G198">
        <v>1967</v>
      </c>
      <c r="H198">
        <v>0.52</v>
      </c>
      <c r="I198">
        <v>0.05</v>
      </c>
      <c r="J198">
        <v>899.2</v>
      </c>
      <c r="K198">
        <v>65.566666666666649</v>
      </c>
      <c r="L198">
        <v>944.16000000000008</v>
      </c>
      <c r="M198">
        <v>1376.9</v>
      </c>
      <c r="N198">
        <v>1376.9</v>
      </c>
      <c r="O198" t="s">
        <v>48</v>
      </c>
      <c r="P198">
        <v>1311.3333333333328</v>
      </c>
      <c r="Q198" t="s">
        <v>48</v>
      </c>
      <c r="R198">
        <v>1376.8999999999994</v>
      </c>
      <c r="S198" t="s">
        <v>514</v>
      </c>
      <c r="T198" t="s">
        <v>88</v>
      </c>
      <c r="U198" t="s">
        <v>514</v>
      </c>
      <c r="V198" t="s">
        <v>514</v>
      </c>
      <c r="W198" t="s">
        <v>220</v>
      </c>
      <c r="X198" t="s">
        <v>515</v>
      </c>
      <c r="Y198" t="s">
        <v>48</v>
      </c>
      <c r="Z198" t="s">
        <v>516</v>
      </c>
      <c r="AA198" t="s">
        <v>493</v>
      </c>
      <c r="AB198" t="s">
        <v>12</v>
      </c>
      <c r="AC198" t="s">
        <v>56</v>
      </c>
    </row>
    <row r="199" spans="1:29" x14ac:dyDescent="0.3">
      <c r="A199">
        <v>221</v>
      </c>
      <c r="B199" t="s">
        <v>44</v>
      </c>
      <c r="C199" t="s">
        <v>75</v>
      </c>
      <c r="D199" t="s">
        <v>76</v>
      </c>
      <c r="E199" t="s">
        <v>453</v>
      </c>
      <c r="F199">
        <v>1</v>
      </c>
      <c r="G199">
        <v>1967</v>
      </c>
      <c r="H199">
        <v>0.52</v>
      </c>
      <c r="I199">
        <v>0.05</v>
      </c>
      <c r="J199">
        <v>899.2</v>
      </c>
      <c r="K199">
        <v>65.714285714285694</v>
      </c>
      <c r="L199">
        <v>944.16000000000008</v>
      </c>
      <c r="M199">
        <v>1380</v>
      </c>
      <c r="N199">
        <v>1380</v>
      </c>
      <c r="O199" t="s">
        <v>48</v>
      </c>
      <c r="P199">
        <v>1314.2857142857138</v>
      </c>
      <c r="Q199" t="s">
        <v>48</v>
      </c>
      <c r="R199">
        <v>1379.9999999999995</v>
      </c>
      <c r="S199" t="s">
        <v>517</v>
      </c>
      <c r="T199" t="s">
        <v>88</v>
      </c>
      <c r="U199" t="s">
        <v>518</v>
      </c>
      <c r="V199" t="s">
        <v>518</v>
      </c>
      <c r="W199" t="s">
        <v>131</v>
      </c>
      <c r="X199" t="s">
        <v>519</v>
      </c>
      <c r="Y199" t="s">
        <v>48</v>
      </c>
      <c r="Z199" t="s">
        <v>520</v>
      </c>
      <c r="AA199" t="s">
        <v>493</v>
      </c>
      <c r="AB199" t="s">
        <v>12</v>
      </c>
      <c r="AC199" t="s">
        <v>56</v>
      </c>
    </row>
    <row r="200" spans="1:29" x14ac:dyDescent="0.3">
      <c r="A200">
        <v>223</v>
      </c>
      <c r="B200" t="s">
        <v>238</v>
      </c>
      <c r="C200" t="s">
        <v>521</v>
      </c>
      <c r="D200" t="s">
        <v>65</v>
      </c>
      <c r="E200" t="s">
        <v>453</v>
      </c>
      <c r="F200">
        <v>1</v>
      </c>
      <c r="G200">
        <v>2999</v>
      </c>
      <c r="H200">
        <v>0.52</v>
      </c>
      <c r="I200">
        <v>0.05</v>
      </c>
      <c r="J200">
        <v>1370.97</v>
      </c>
      <c r="K200">
        <v>68.548571428571407</v>
      </c>
      <c r="L200">
        <v>1439.5185000000001</v>
      </c>
      <c r="M200">
        <v>1439.52</v>
      </c>
      <c r="N200">
        <v>1439.52</v>
      </c>
      <c r="O200" t="s">
        <v>48</v>
      </c>
      <c r="P200">
        <v>1370.9714285714281</v>
      </c>
      <c r="Q200" t="s">
        <v>48</v>
      </c>
      <c r="R200">
        <v>1439.5199999999995</v>
      </c>
      <c r="S200" t="s">
        <v>522</v>
      </c>
      <c r="T200" t="s">
        <v>50</v>
      </c>
      <c r="U200" t="s">
        <v>522</v>
      </c>
      <c r="V200" t="s">
        <v>522</v>
      </c>
      <c r="W200" t="s">
        <v>48</v>
      </c>
      <c r="X200" t="s">
        <v>48</v>
      </c>
      <c r="Y200" t="s">
        <v>48</v>
      </c>
      <c r="Z200" t="s">
        <v>523</v>
      </c>
      <c r="AA200" t="s">
        <v>493</v>
      </c>
      <c r="AB200" t="s">
        <v>12</v>
      </c>
      <c r="AC200" t="s">
        <v>56</v>
      </c>
    </row>
    <row r="201" spans="1:29" x14ac:dyDescent="0.3">
      <c r="A201">
        <v>224</v>
      </c>
      <c r="B201" t="s">
        <v>238</v>
      </c>
      <c r="C201" t="s">
        <v>521</v>
      </c>
      <c r="D201" t="s">
        <v>70</v>
      </c>
      <c r="E201" t="s">
        <v>453</v>
      </c>
      <c r="F201">
        <v>1</v>
      </c>
      <c r="G201">
        <v>2999</v>
      </c>
      <c r="H201">
        <v>0.52</v>
      </c>
      <c r="I201">
        <v>0.05</v>
      </c>
      <c r="J201">
        <v>1370.97</v>
      </c>
      <c r="K201">
        <v>68.548571428571407</v>
      </c>
      <c r="L201">
        <v>1439.5185000000001</v>
      </c>
      <c r="M201">
        <v>1439.52</v>
      </c>
      <c r="N201">
        <v>1439.52</v>
      </c>
      <c r="O201" t="s">
        <v>48</v>
      </c>
      <c r="P201">
        <v>1370.9714285714281</v>
      </c>
      <c r="Q201" t="s">
        <v>48</v>
      </c>
      <c r="R201">
        <v>1439.5199999999995</v>
      </c>
      <c r="S201" t="s">
        <v>71</v>
      </c>
      <c r="T201" t="s">
        <v>50</v>
      </c>
      <c r="U201" t="s">
        <v>71</v>
      </c>
      <c r="V201" t="s">
        <v>71</v>
      </c>
      <c r="W201" t="s">
        <v>48</v>
      </c>
      <c r="X201" t="s">
        <v>48</v>
      </c>
      <c r="Y201" t="s">
        <v>48</v>
      </c>
      <c r="Z201" t="s">
        <v>524</v>
      </c>
      <c r="AA201" t="s">
        <v>493</v>
      </c>
      <c r="AB201" t="s">
        <v>12</v>
      </c>
      <c r="AC201" t="s">
        <v>56</v>
      </c>
    </row>
    <row r="202" spans="1:29" x14ac:dyDescent="0.3">
      <c r="A202">
        <v>225</v>
      </c>
      <c r="B202" t="s">
        <v>238</v>
      </c>
      <c r="C202" t="s">
        <v>521</v>
      </c>
      <c r="D202" t="s">
        <v>99</v>
      </c>
      <c r="E202" t="s">
        <v>453</v>
      </c>
      <c r="F202">
        <v>1</v>
      </c>
      <c r="G202">
        <v>2999</v>
      </c>
      <c r="H202">
        <v>0.52</v>
      </c>
      <c r="I202">
        <v>0.05</v>
      </c>
      <c r="J202">
        <v>1370.97</v>
      </c>
      <c r="K202">
        <v>85.685714285714255</v>
      </c>
      <c r="L202">
        <v>1439.5185000000001</v>
      </c>
      <c r="M202">
        <v>1799.4</v>
      </c>
      <c r="N202">
        <v>1799.4</v>
      </c>
      <c r="O202" t="s">
        <v>48</v>
      </c>
      <c r="P202">
        <v>1713.7142857142851</v>
      </c>
      <c r="Q202" t="s">
        <v>48</v>
      </c>
      <c r="R202">
        <v>1799.3999999999994</v>
      </c>
      <c r="S202" t="s">
        <v>525</v>
      </c>
      <c r="T202" t="s">
        <v>50</v>
      </c>
      <c r="U202" t="s">
        <v>525</v>
      </c>
      <c r="V202" t="s">
        <v>525</v>
      </c>
      <c r="W202" t="s">
        <v>48</v>
      </c>
      <c r="X202" t="s">
        <v>48</v>
      </c>
      <c r="Y202" t="s">
        <v>48</v>
      </c>
      <c r="Z202" t="s">
        <v>526</v>
      </c>
      <c r="AA202" t="s">
        <v>527</v>
      </c>
      <c r="AB202" t="s">
        <v>12</v>
      </c>
      <c r="AC202" t="s">
        <v>56</v>
      </c>
    </row>
    <row r="203" spans="1:29" x14ac:dyDescent="0.3">
      <c r="A203">
        <v>226</v>
      </c>
      <c r="B203" t="s">
        <v>238</v>
      </c>
      <c r="C203" t="s">
        <v>521</v>
      </c>
      <c r="D203" t="s">
        <v>70</v>
      </c>
      <c r="E203" t="s">
        <v>453</v>
      </c>
      <c r="F203">
        <v>1</v>
      </c>
      <c r="G203">
        <v>2999</v>
      </c>
      <c r="H203">
        <v>0.52</v>
      </c>
      <c r="I203">
        <v>0.05</v>
      </c>
      <c r="J203">
        <v>1370.97</v>
      </c>
      <c r="K203">
        <v>85.685714285714255</v>
      </c>
      <c r="L203">
        <v>1439.5185000000001</v>
      </c>
      <c r="M203">
        <v>1799.4</v>
      </c>
      <c r="N203">
        <v>1799.4</v>
      </c>
      <c r="O203" t="s">
        <v>48</v>
      </c>
      <c r="P203">
        <v>1713.7142857142851</v>
      </c>
      <c r="Q203" t="s">
        <v>48</v>
      </c>
      <c r="R203">
        <v>1799.3999999999994</v>
      </c>
      <c r="S203" t="s">
        <v>525</v>
      </c>
      <c r="T203" t="s">
        <v>50</v>
      </c>
      <c r="U203" t="s">
        <v>525</v>
      </c>
      <c r="V203" t="s">
        <v>525</v>
      </c>
      <c r="W203" t="s">
        <v>48</v>
      </c>
      <c r="X203" t="s">
        <v>48</v>
      </c>
      <c r="Y203" t="s">
        <v>48</v>
      </c>
      <c r="Z203" t="s">
        <v>528</v>
      </c>
      <c r="AA203" t="s">
        <v>527</v>
      </c>
      <c r="AB203" t="s">
        <v>12</v>
      </c>
      <c r="AC203" t="s">
        <v>56</v>
      </c>
    </row>
    <row r="204" spans="1:29" x14ac:dyDescent="0.3">
      <c r="A204">
        <v>227</v>
      </c>
      <c r="B204" t="s">
        <v>44</v>
      </c>
      <c r="C204" t="s">
        <v>75</v>
      </c>
      <c r="D204" t="s">
        <v>123</v>
      </c>
      <c r="E204" t="s">
        <v>453</v>
      </c>
      <c r="F204">
        <v>1</v>
      </c>
      <c r="G204">
        <v>1967</v>
      </c>
      <c r="H204">
        <v>0.52</v>
      </c>
      <c r="I204">
        <v>0.05</v>
      </c>
      <c r="J204">
        <v>899.2</v>
      </c>
      <c r="K204">
        <v>56.190476190476176</v>
      </c>
      <c r="L204">
        <v>944.16000000000008</v>
      </c>
      <c r="M204">
        <v>1180</v>
      </c>
      <c r="N204">
        <v>1180</v>
      </c>
      <c r="O204" t="s">
        <v>48</v>
      </c>
      <c r="P204">
        <v>1123.8095238095234</v>
      </c>
      <c r="Q204" t="s">
        <v>48</v>
      </c>
      <c r="R204">
        <v>1179.9999999999995</v>
      </c>
      <c r="S204" t="s">
        <v>336</v>
      </c>
      <c r="T204" t="s">
        <v>50</v>
      </c>
      <c r="U204" t="s">
        <v>320</v>
      </c>
      <c r="V204" t="s">
        <v>320</v>
      </c>
      <c r="W204" t="s">
        <v>529</v>
      </c>
      <c r="X204" t="s">
        <v>530</v>
      </c>
      <c r="Y204" t="s">
        <v>48</v>
      </c>
      <c r="Z204" t="s">
        <v>531</v>
      </c>
      <c r="AA204" t="s">
        <v>527</v>
      </c>
      <c r="AB204" t="s">
        <v>12</v>
      </c>
      <c r="AC204" t="s">
        <v>56</v>
      </c>
    </row>
    <row r="205" spans="1:29" x14ac:dyDescent="0.3">
      <c r="A205">
        <v>228</v>
      </c>
      <c r="B205" t="s">
        <v>44</v>
      </c>
      <c r="C205" t="s">
        <v>75</v>
      </c>
      <c r="D205" t="s">
        <v>76</v>
      </c>
      <c r="E205" t="s">
        <v>453</v>
      </c>
      <c r="F205">
        <v>1</v>
      </c>
      <c r="G205">
        <v>1967</v>
      </c>
      <c r="H205">
        <v>0.52</v>
      </c>
      <c r="I205">
        <v>0.05</v>
      </c>
      <c r="J205">
        <v>899.2</v>
      </c>
      <c r="K205">
        <v>56.190476190476176</v>
      </c>
      <c r="L205">
        <v>944.16000000000008</v>
      </c>
      <c r="M205">
        <v>1180</v>
      </c>
      <c r="N205">
        <v>1180</v>
      </c>
      <c r="O205" t="s">
        <v>48</v>
      </c>
      <c r="P205">
        <v>1123.8095238095234</v>
      </c>
      <c r="Q205" t="s">
        <v>48</v>
      </c>
      <c r="R205">
        <v>1179.9999999999995</v>
      </c>
      <c r="S205" t="s">
        <v>336</v>
      </c>
      <c r="T205" t="s">
        <v>50</v>
      </c>
      <c r="U205" t="s">
        <v>320</v>
      </c>
      <c r="V205" t="s">
        <v>320</v>
      </c>
      <c r="W205" t="s">
        <v>529</v>
      </c>
      <c r="X205" t="s">
        <v>530</v>
      </c>
      <c r="Y205" t="s">
        <v>48</v>
      </c>
      <c r="Z205" t="s">
        <v>532</v>
      </c>
      <c r="AA205" t="s">
        <v>527</v>
      </c>
      <c r="AB205" t="s">
        <v>12</v>
      </c>
      <c r="AC205" t="s">
        <v>56</v>
      </c>
    </row>
    <row r="206" spans="1:29" x14ac:dyDescent="0.3">
      <c r="A206">
        <v>229</v>
      </c>
      <c r="B206" t="s">
        <v>238</v>
      </c>
      <c r="C206" t="s">
        <v>383</v>
      </c>
      <c r="D206" t="s">
        <v>76</v>
      </c>
      <c r="E206" t="s">
        <v>453</v>
      </c>
      <c r="F206">
        <v>1</v>
      </c>
      <c r="G206">
        <v>2799</v>
      </c>
      <c r="H206">
        <v>0.52</v>
      </c>
      <c r="I206">
        <v>0.05</v>
      </c>
      <c r="J206">
        <v>1279.54</v>
      </c>
      <c r="K206">
        <v>39.985714285714273</v>
      </c>
      <c r="L206">
        <v>1343.5170000000001</v>
      </c>
      <c r="M206">
        <v>839.7</v>
      </c>
      <c r="N206">
        <v>839.7</v>
      </c>
      <c r="O206" t="s">
        <v>48</v>
      </c>
      <c r="P206">
        <v>799.71428571428544</v>
      </c>
      <c r="Q206" t="s">
        <v>48</v>
      </c>
      <c r="R206">
        <v>839.6999999999997</v>
      </c>
      <c r="S206" t="s">
        <v>533</v>
      </c>
      <c r="T206" t="s">
        <v>50</v>
      </c>
      <c r="U206" t="s">
        <v>533</v>
      </c>
      <c r="V206" t="s">
        <v>533</v>
      </c>
      <c r="W206" t="s">
        <v>48</v>
      </c>
      <c r="X206" t="s">
        <v>48</v>
      </c>
      <c r="Y206" t="s">
        <v>48</v>
      </c>
      <c r="Z206" t="s">
        <v>534</v>
      </c>
      <c r="AA206" t="s">
        <v>527</v>
      </c>
      <c r="AB206" t="s">
        <v>12</v>
      </c>
      <c r="AC206" t="s">
        <v>56</v>
      </c>
    </row>
    <row r="207" spans="1:29" x14ac:dyDescent="0.3">
      <c r="A207">
        <v>230</v>
      </c>
      <c r="B207" t="s">
        <v>238</v>
      </c>
      <c r="C207" t="s">
        <v>521</v>
      </c>
      <c r="D207" t="s">
        <v>117</v>
      </c>
      <c r="E207" t="s">
        <v>453</v>
      </c>
      <c r="F207">
        <v>1</v>
      </c>
      <c r="G207">
        <v>2999</v>
      </c>
      <c r="H207">
        <v>0.52</v>
      </c>
      <c r="I207">
        <v>0.05</v>
      </c>
      <c r="J207">
        <v>1370.97</v>
      </c>
      <c r="K207">
        <v>42.842857142857127</v>
      </c>
      <c r="L207">
        <v>1439.5185000000001</v>
      </c>
      <c r="M207">
        <v>899.7</v>
      </c>
      <c r="N207">
        <v>899.7</v>
      </c>
      <c r="O207" t="s">
        <v>48</v>
      </c>
      <c r="P207">
        <v>856.85714285714255</v>
      </c>
      <c r="Q207" t="s">
        <v>48</v>
      </c>
      <c r="R207">
        <v>899.6999999999997</v>
      </c>
      <c r="S207" t="s">
        <v>499</v>
      </c>
      <c r="T207" t="s">
        <v>50</v>
      </c>
      <c r="U207" t="s">
        <v>499</v>
      </c>
      <c r="V207" t="s">
        <v>499</v>
      </c>
      <c r="W207" t="s">
        <v>48</v>
      </c>
      <c r="X207" t="s">
        <v>48</v>
      </c>
      <c r="Y207" t="s">
        <v>48</v>
      </c>
      <c r="Z207" t="s">
        <v>535</v>
      </c>
      <c r="AA207" t="s">
        <v>527</v>
      </c>
      <c r="AB207" t="s">
        <v>12</v>
      </c>
      <c r="AC207" t="s">
        <v>56</v>
      </c>
    </row>
    <row r="208" spans="1:29" x14ac:dyDescent="0.3">
      <c r="A208">
        <v>231</v>
      </c>
      <c r="B208" t="s">
        <v>238</v>
      </c>
      <c r="C208" t="s">
        <v>521</v>
      </c>
      <c r="D208" t="s">
        <v>117</v>
      </c>
      <c r="E208" t="s">
        <v>453</v>
      </c>
      <c r="F208">
        <v>1</v>
      </c>
      <c r="G208">
        <v>2999</v>
      </c>
      <c r="H208">
        <v>0.52</v>
      </c>
      <c r="I208">
        <v>0.05</v>
      </c>
      <c r="J208">
        <v>1370.97</v>
      </c>
      <c r="K208">
        <v>42.842857142857127</v>
      </c>
      <c r="L208">
        <v>1439.5185000000001</v>
      </c>
      <c r="M208">
        <v>899.7</v>
      </c>
      <c r="N208">
        <v>899.7</v>
      </c>
      <c r="O208" t="s">
        <v>48</v>
      </c>
      <c r="P208">
        <v>856.85714285714255</v>
      </c>
      <c r="Q208" t="s">
        <v>48</v>
      </c>
      <c r="R208">
        <v>899.6999999999997</v>
      </c>
      <c r="S208" t="s">
        <v>536</v>
      </c>
      <c r="T208" t="s">
        <v>50</v>
      </c>
      <c r="U208" t="s">
        <v>536</v>
      </c>
      <c r="V208" t="s">
        <v>536</v>
      </c>
      <c r="W208" t="s">
        <v>48</v>
      </c>
      <c r="X208" t="s">
        <v>48</v>
      </c>
      <c r="Y208" t="s">
        <v>48</v>
      </c>
      <c r="Z208" t="s">
        <v>537</v>
      </c>
      <c r="AA208" t="s">
        <v>527</v>
      </c>
      <c r="AB208" t="s">
        <v>12</v>
      </c>
      <c r="AC208" t="s">
        <v>56</v>
      </c>
    </row>
    <row r="209" spans="1:29" x14ac:dyDescent="0.3">
      <c r="A209">
        <v>232</v>
      </c>
      <c r="B209" t="s">
        <v>538</v>
      </c>
      <c r="C209" t="s">
        <v>539</v>
      </c>
      <c r="D209" t="s">
        <v>117</v>
      </c>
      <c r="E209" t="s">
        <v>453</v>
      </c>
      <c r="F209">
        <v>1</v>
      </c>
      <c r="G209">
        <v>3099</v>
      </c>
      <c r="H209">
        <v>0.52</v>
      </c>
      <c r="I209">
        <v>0.05</v>
      </c>
      <c r="J209">
        <v>1416.69</v>
      </c>
      <c r="K209">
        <v>44.271428571428558</v>
      </c>
      <c r="L209">
        <v>1487.5245</v>
      </c>
      <c r="M209">
        <v>929.7</v>
      </c>
      <c r="N209">
        <v>929.7</v>
      </c>
      <c r="O209" t="s">
        <v>48</v>
      </c>
      <c r="P209">
        <v>885.4285714285711</v>
      </c>
      <c r="Q209" t="s">
        <v>48</v>
      </c>
      <c r="R209">
        <v>929.6999999999997</v>
      </c>
      <c r="S209" t="s">
        <v>499</v>
      </c>
      <c r="T209" t="s">
        <v>50</v>
      </c>
      <c r="U209" t="s">
        <v>499</v>
      </c>
      <c r="V209" t="s">
        <v>499</v>
      </c>
      <c r="W209" t="s">
        <v>48</v>
      </c>
      <c r="X209" t="s">
        <v>48</v>
      </c>
      <c r="Y209" t="s">
        <v>48</v>
      </c>
      <c r="Z209" t="s">
        <v>540</v>
      </c>
      <c r="AA209" t="s">
        <v>527</v>
      </c>
      <c r="AB209" t="s">
        <v>12</v>
      </c>
      <c r="AC209" t="s">
        <v>56</v>
      </c>
    </row>
    <row r="210" spans="1:29" x14ac:dyDescent="0.3">
      <c r="A210">
        <v>233</v>
      </c>
      <c r="B210" t="s">
        <v>68</v>
      </c>
      <c r="C210" t="s">
        <v>114</v>
      </c>
      <c r="D210" t="s">
        <v>59</v>
      </c>
      <c r="E210" t="s">
        <v>83</v>
      </c>
      <c r="F210">
        <v>1</v>
      </c>
      <c r="G210">
        <v>5000</v>
      </c>
      <c r="H210">
        <v>0.52</v>
      </c>
      <c r="I210">
        <v>0.05</v>
      </c>
      <c r="J210">
        <v>2285.71</v>
      </c>
      <c r="K210">
        <v>142.8571428571428</v>
      </c>
      <c r="L210">
        <v>2399.9955</v>
      </c>
      <c r="M210">
        <v>3000</v>
      </c>
      <c r="N210">
        <v>3000</v>
      </c>
      <c r="O210" t="s">
        <v>48</v>
      </c>
      <c r="P210">
        <v>2857.142857142856</v>
      </c>
      <c r="Q210" t="s">
        <v>48</v>
      </c>
      <c r="R210">
        <v>2999.9999999999986</v>
      </c>
      <c r="S210" t="s">
        <v>541</v>
      </c>
      <c r="T210" t="s">
        <v>50</v>
      </c>
      <c r="U210" t="s">
        <v>541</v>
      </c>
      <c r="V210" t="s">
        <v>541</v>
      </c>
      <c r="W210" t="s">
        <v>475</v>
      </c>
      <c r="X210" t="s">
        <v>542</v>
      </c>
      <c r="Y210" t="s">
        <v>48</v>
      </c>
      <c r="Z210" t="s">
        <v>543</v>
      </c>
      <c r="AA210" t="s">
        <v>527</v>
      </c>
      <c r="AB210" t="s">
        <v>12</v>
      </c>
      <c r="AC210" t="s">
        <v>56</v>
      </c>
    </row>
    <row r="211" spans="1:29" x14ac:dyDescent="0.3">
      <c r="A211">
        <v>234</v>
      </c>
      <c r="B211" t="s">
        <v>544</v>
      </c>
      <c r="C211" t="s">
        <v>233</v>
      </c>
      <c r="D211" t="s">
        <v>59</v>
      </c>
      <c r="E211" t="s">
        <v>47</v>
      </c>
      <c r="F211">
        <v>1</v>
      </c>
      <c r="G211">
        <v>5200</v>
      </c>
      <c r="H211">
        <v>0.5</v>
      </c>
      <c r="I211">
        <v>0.18</v>
      </c>
      <c r="J211">
        <v>2203.39</v>
      </c>
      <c r="K211">
        <v>475.93220338983048</v>
      </c>
      <c r="L211">
        <v>2600.0001999999999</v>
      </c>
      <c r="M211">
        <v>3120</v>
      </c>
      <c r="N211">
        <v>3120</v>
      </c>
      <c r="O211" t="s">
        <v>48</v>
      </c>
      <c r="P211">
        <v>2644.0677966101694</v>
      </c>
      <c r="Q211" t="s">
        <v>48</v>
      </c>
      <c r="R211">
        <v>3120</v>
      </c>
      <c r="S211" t="s">
        <v>541</v>
      </c>
      <c r="T211" t="s">
        <v>50</v>
      </c>
      <c r="U211" t="s">
        <v>541</v>
      </c>
      <c r="V211" t="s">
        <v>541</v>
      </c>
      <c r="W211" t="s">
        <v>475</v>
      </c>
      <c r="X211" t="s">
        <v>545</v>
      </c>
      <c r="Y211" t="s">
        <v>48</v>
      </c>
      <c r="Z211" t="s">
        <v>546</v>
      </c>
      <c r="AA211" t="s">
        <v>527</v>
      </c>
      <c r="AB211" t="s">
        <v>12</v>
      </c>
      <c r="AC211" t="s">
        <v>56</v>
      </c>
    </row>
    <row r="212" spans="1:29" x14ac:dyDescent="0.3">
      <c r="A212">
        <v>235</v>
      </c>
      <c r="B212" t="s">
        <v>68</v>
      </c>
      <c r="C212" t="s">
        <v>69</v>
      </c>
      <c r="D212" t="s">
        <v>70</v>
      </c>
      <c r="E212" t="s">
        <v>47</v>
      </c>
      <c r="F212">
        <v>1</v>
      </c>
      <c r="G212">
        <v>9000</v>
      </c>
      <c r="H212">
        <v>0.5</v>
      </c>
      <c r="I212">
        <v>0.18</v>
      </c>
      <c r="J212">
        <v>3813.56</v>
      </c>
      <c r="K212">
        <v>588.2033898305084</v>
      </c>
      <c r="L212">
        <v>4500.0007999999998</v>
      </c>
      <c r="M212">
        <v>3856</v>
      </c>
      <c r="N212">
        <v>3856</v>
      </c>
      <c r="O212" t="s">
        <v>48</v>
      </c>
      <c r="P212">
        <v>3267.7966101694915</v>
      </c>
      <c r="Q212" t="s">
        <v>48</v>
      </c>
      <c r="R212">
        <v>3856</v>
      </c>
      <c r="S212" t="s">
        <v>547</v>
      </c>
      <c r="T212" t="s">
        <v>50</v>
      </c>
      <c r="U212" t="s">
        <v>320</v>
      </c>
      <c r="V212" t="s">
        <v>320</v>
      </c>
      <c r="W212" t="s">
        <v>48</v>
      </c>
      <c r="X212" t="s">
        <v>48</v>
      </c>
      <c r="Y212" t="s">
        <v>339</v>
      </c>
      <c r="Z212" t="s">
        <v>548</v>
      </c>
      <c r="AA212" t="s">
        <v>527</v>
      </c>
      <c r="AB212" t="s">
        <v>12</v>
      </c>
      <c r="AC212" t="s">
        <v>56</v>
      </c>
    </row>
    <row r="213" spans="1:29" x14ac:dyDescent="0.3">
      <c r="A213">
        <v>236</v>
      </c>
      <c r="B213" t="s">
        <v>68</v>
      </c>
      <c r="C213" t="s">
        <v>69</v>
      </c>
      <c r="D213" t="s">
        <v>59</v>
      </c>
      <c r="E213" t="s">
        <v>83</v>
      </c>
      <c r="F213">
        <v>1</v>
      </c>
      <c r="G213">
        <v>9000</v>
      </c>
      <c r="H213">
        <v>0.52</v>
      </c>
      <c r="I213">
        <v>0.18</v>
      </c>
      <c r="J213">
        <v>3661.02</v>
      </c>
      <c r="K213">
        <v>641.68474576271183</v>
      </c>
      <c r="L213">
        <v>4320.0036</v>
      </c>
      <c r="M213">
        <v>4206.6000000000004</v>
      </c>
      <c r="N213">
        <v>4206.6000000000004</v>
      </c>
      <c r="O213" t="s">
        <v>48</v>
      </c>
      <c r="P213">
        <v>3564.9152542372881</v>
      </c>
      <c r="Q213" t="s">
        <v>48</v>
      </c>
      <c r="R213">
        <v>4206.6000000000004</v>
      </c>
      <c r="S213" t="s">
        <v>336</v>
      </c>
      <c r="T213" t="s">
        <v>50</v>
      </c>
      <c r="U213" t="s">
        <v>320</v>
      </c>
      <c r="V213" t="s">
        <v>320</v>
      </c>
      <c r="W213" t="s">
        <v>48</v>
      </c>
      <c r="X213" t="s">
        <v>48</v>
      </c>
      <c r="Y213" t="s">
        <v>339</v>
      </c>
      <c r="Z213" t="s">
        <v>549</v>
      </c>
      <c r="AA213" t="s">
        <v>550</v>
      </c>
      <c r="AB213" t="s">
        <v>12</v>
      </c>
      <c r="AC213" t="s">
        <v>56</v>
      </c>
    </row>
    <row r="214" spans="1:29" x14ac:dyDescent="0.3">
      <c r="A214">
        <v>237</v>
      </c>
      <c r="B214" t="s">
        <v>44</v>
      </c>
      <c r="C214" t="s">
        <v>111</v>
      </c>
      <c r="D214" t="s">
        <v>65</v>
      </c>
      <c r="E214" t="s">
        <v>453</v>
      </c>
      <c r="F214">
        <v>1</v>
      </c>
      <c r="G214">
        <v>4590</v>
      </c>
      <c r="H214">
        <v>0.56999999999999995</v>
      </c>
      <c r="I214">
        <v>0.05</v>
      </c>
      <c r="J214">
        <v>1879.71</v>
      </c>
      <c r="K214">
        <v>131.14285714285708</v>
      </c>
      <c r="L214">
        <v>1973.6955</v>
      </c>
      <c r="M214">
        <v>2754</v>
      </c>
      <c r="N214">
        <v>2754</v>
      </c>
      <c r="O214" t="s">
        <v>48</v>
      </c>
      <c r="P214">
        <v>2622.8571428571418</v>
      </c>
      <c r="Q214" t="s">
        <v>48</v>
      </c>
      <c r="R214">
        <v>2753.9999999999986</v>
      </c>
      <c r="S214" t="s">
        <v>198</v>
      </c>
      <c r="T214" t="s">
        <v>50</v>
      </c>
      <c r="U214" t="s">
        <v>198</v>
      </c>
      <c r="V214" t="s">
        <v>198</v>
      </c>
      <c r="W214" t="s">
        <v>48</v>
      </c>
      <c r="X214" t="s">
        <v>48</v>
      </c>
      <c r="Y214" t="s">
        <v>48</v>
      </c>
      <c r="Z214" t="s">
        <v>551</v>
      </c>
      <c r="AA214" t="s">
        <v>550</v>
      </c>
      <c r="AB214" t="s">
        <v>12</v>
      </c>
      <c r="AC214" t="s">
        <v>56</v>
      </c>
    </row>
    <row r="215" spans="1:29" x14ac:dyDescent="0.3">
      <c r="A215">
        <v>238</v>
      </c>
      <c r="B215" t="s">
        <v>44</v>
      </c>
      <c r="C215" t="s">
        <v>75</v>
      </c>
      <c r="D215" t="s">
        <v>46</v>
      </c>
      <c r="E215" t="s">
        <v>453</v>
      </c>
      <c r="F215">
        <v>1</v>
      </c>
      <c r="G215">
        <v>1967</v>
      </c>
      <c r="H215">
        <v>0.52</v>
      </c>
      <c r="I215">
        <v>0.05</v>
      </c>
      <c r="J215">
        <v>899.2</v>
      </c>
      <c r="K215">
        <v>56.199999999999982</v>
      </c>
      <c r="L215">
        <v>944.16000000000008</v>
      </c>
      <c r="M215">
        <v>1180.2</v>
      </c>
      <c r="N215">
        <v>1180.2</v>
      </c>
      <c r="O215" t="s">
        <v>48</v>
      </c>
      <c r="P215">
        <v>1123.9999999999995</v>
      </c>
      <c r="Q215" t="s">
        <v>48</v>
      </c>
      <c r="R215">
        <v>1180.1999999999996</v>
      </c>
      <c r="S215" t="s">
        <v>228</v>
      </c>
      <c r="T215" t="s">
        <v>50</v>
      </c>
      <c r="U215" t="s">
        <v>228</v>
      </c>
      <c r="V215" t="s">
        <v>228</v>
      </c>
      <c r="W215" t="s">
        <v>48</v>
      </c>
      <c r="X215" t="s">
        <v>48</v>
      </c>
      <c r="Y215" t="s">
        <v>48</v>
      </c>
      <c r="Z215" t="s">
        <v>552</v>
      </c>
      <c r="AA215" t="s">
        <v>550</v>
      </c>
      <c r="AB215" t="s">
        <v>12</v>
      </c>
      <c r="AC215" t="s">
        <v>56</v>
      </c>
    </row>
    <row r="216" spans="1:29" x14ac:dyDescent="0.3">
      <c r="A216">
        <v>239</v>
      </c>
      <c r="B216" t="s">
        <v>238</v>
      </c>
      <c r="C216" t="s">
        <v>383</v>
      </c>
      <c r="D216" t="s">
        <v>99</v>
      </c>
      <c r="E216" t="s">
        <v>453</v>
      </c>
      <c r="F216">
        <v>1</v>
      </c>
      <c r="G216">
        <v>2799</v>
      </c>
      <c r="H216">
        <v>0.52</v>
      </c>
      <c r="I216">
        <v>0.05</v>
      </c>
      <c r="J216">
        <v>1279.54</v>
      </c>
      <c r="K216">
        <v>79.999999999999972</v>
      </c>
      <c r="L216">
        <v>1343.5170000000001</v>
      </c>
      <c r="M216">
        <v>1680</v>
      </c>
      <c r="N216">
        <v>1680</v>
      </c>
      <c r="O216" t="s">
        <v>48</v>
      </c>
      <c r="P216">
        <v>1599.9999999999993</v>
      </c>
      <c r="Q216" t="s">
        <v>48</v>
      </c>
      <c r="R216">
        <v>1679.9999999999993</v>
      </c>
      <c r="S216" t="s">
        <v>495</v>
      </c>
      <c r="T216" t="s">
        <v>50</v>
      </c>
      <c r="U216" t="s">
        <v>495</v>
      </c>
      <c r="V216" t="s">
        <v>495</v>
      </c>
      <c r="W216" t="s">
        <v>475</v>
      </c>
      <c r="X216" t="s">
        <v>553</v>
      </c>
      <c r="Y216" t="s">
        <v>48</v>
      </c>
      <c r="Z216" t="s">
        <v>554</v>
      </c>
      <c r="AA216" t="s">
        <v>550</v>
      </c>
      <c r="AB216" t="s">
        <v>12</v>
      </c>
      <c r="AC216" t="s">
        <v>56</v>
      </c>
    </row>
    <row r="217" spans="1:29" x14ac:dyDescent="0.3">
      <c r="A217">
        <v>240</v>
      </c>
      <c r="B217" t="s">
        <v>68</v>
      </c>
      <c r="C217" t="s">
        <v>141</v>
      </c>
      <c r="D217" t="s">
        <v>59</v>
      </c>
      <c r="E217" t="s">
        <v>83</v>
      </c>
      <c r="F217">
        <v>1</v>
      </c>
      <c r="G217">
        <v>7011</v>
      </c>
      <c r="H217">
        <v>0.52</v>
      </c>
      <c r="I217">
        <v>0.18</v>
      </c>
      <c r="J217">
        <v>2851.93</v>
      </c>
      <c r="K217">
        <v>641.74576271186436</v>
      </c>
      <c r="L217">
        <v>3365.2773999999999</v>
      </c>
      <c r="M217">
        <v>4207</v>
      </c>
      <c r="N217">
        <v>4207</v>
      </c>
      <c r="O217" t="s">
        <v>48</v>
      </c>
      <c r="P217">
        <v>3565.2542372881353</v>
      </c>
      <c r="Q217" t="s">
        <v>48</v>
      </c>
      <c r="R217">
        <v>4207</v>
      </c>
      <c r="S217" t="s">
        <v>541</v>
      </c>
      <c r="T217" t="s">
        <v>88</v>
      </c>
      <c r="U217" t="s">
        <v>555</v>
      </c>
      <c r="V217" t="s">
        <v>555</v>
      </c>
      <c r="W217" t="s">
        <v>475</v>
      </c>
      <c r="X217" t="s">
        <v>556</v>
      </c>
      <c r="Y217" t="s">
        <v>48</v>
      </c>
      <c r="Z217" t="s">
        <v>557</v>
      </c>
      <c r="AA217" t="s">
        <v>550</v>
      </c>
      <c r="AB217" t="s">
        <v>12</v>
      </c>
      <c r="AC217" t="s">
        <v>56</v>
      </c>
    </row>
    <row r="218" spans="1:29" x14ac:dyDescent="0.3">
      <c r="A218">
        <v>241</v>
      </c>
      <c r="B218" t="s">
        <v>68</v>
      </c>
      <c r="C218" t="s">
        <v>141</v>
      </c>
      <c r="D218" t="s">
        <v>59</v>
      </c>
      <c r="E218" t="s">
        <v>453</v>
      </c>
      <c r="F218">
        <v>1</v>
      </c>
      <c r="G218">
        <v>7011</v>
      </c>
      <c r="H218">
        <v>0.52</v>
      </c>
      <c r="I218">
        <v>0.18</v>
      </c>
      <c r="J218">
        <v>2851.93</v>
      </c>
      <c r="K218">
        <v>641.74576271186436</v>
      </c>
      <c r="L218">
        <v>3365.2773999999999</v>
      </c>
      <c r="M218">
        <v>4207</v>
      </c>
      <c r="N218">
        <v>4207</v>
      </c>
      <c r="O218" t="s">
        <v>48</v>
      </c>
      <c r="P218">
        <v>3565.2542372881353</v>
      </c>
      <c r="Q218" t="s">
        <v>48</v>
      </c>
      <c r="R218">
        <v>4207</v>
      </c>
      <c r="S218" t="s">
        <v>320</v>
      </c>
      <c r="T218" t="s">
        <v>50</v>
      </c>
      <c r="U218" t="s">
        <v>320</v>
      </c>
      <c r="V218" t="s">
        <v>320</v>
      </c>
      <c r="W218" t="s">
        <v>529</v>
      </c>
      <c r="X218" t="s">
        <v>558</v>
      </c>
      <c r="Y218" t="s">
        <v>48</v>
      </c>
      <c r="Z218" t="s">
        <v>559</v>
      </c>
      <c r="AA218" t="s">
        <v>550</v>
      </c>
      <c r="AB218" t="s">
        <v>12</v>
      </c>
      <c r="AC218" t="s">
        <v>56</v>
      </c>
    </row>
    <row r="219" spans="1:29" x14ac:dyDescent="0.3">
      <c r="A219">
        <v>242</v>
      </c>
      <c r="B219" t="s">
        <v>544</v>
      </c>
      <c r="C219" t="s">
        <v>560</v>
      </c>
      <c r="D219" t="s">
        <v>59</v>
      </c>
      <c r="E219" t="s">
        <v>453</v>
      </c>
      <c r="F219">
        <v>1</v>
      </c>
      <c r="G219">
        <v>6500</v>
      </c>
      <c r="H219">
        <v>0.52</v>
      </c>
      <c r="I219">
        <v>0.18</v>
      </c>
      <c r="J219">
        <v>2851.93</v>
      </c>
      <c r="K219">
        <v>594.91525423728808</v>
      </c>
      <c r="L219">
        <v>3365.2773999999999</v>
      </c>
      <c r="M219">
        <v>3900</v>
      </c>
      <c r="N219">
        <v>3900</v>
      </c>
      <c r="O219" t="s">
        <v>48</v>
      </c>
      <c r="P219">
        <v>3305.0847457627119</v>
      </c>
      <c r="Q219" t="s">
        <v>48</v>
      </c>
      <c r="R219">
        <v>3900</v>
      </c>
      <c r="S219" t="s">
        <v>320</v>
      </c>
      <c r="T219" t="s">
        <v>50</v>
      </c>
      <c r="U219" t="s">
        <v>320</v>
      </c>
      <c r="V219" t="s">
        <v>320</v>
      </c>
      <c r="W219" t="s">
        <v>529</v>
      </c>
      <c r="X219" t="s">
        <v>561</v>
      </c>
      <c r="Y219" t="s">
        <v>48</v>
      </c>
      <c r="Z219" t="s">
        <v>562</v>
      </c>
      <c r="AA219" t="s">
        <v>550</v>
      </c>
      <c r="AB219" t="s">
        <v>12</v>
      </c>
      <c r="AC219" t="s">
        <v>56</v>
      </c>
    </row>
    <row r="220" spans="1:29" x14ac:dyDescent="0.3">
      <c r="A220">
        <v>245</v>
      </c>
      <c r="B220" t="s">
        <v>44</v>
      </c>
      <c r="C220" t="s">
        <v>57</v>
      </c>
      <c r="D220" t="s">
        <v>59</v>
      </c>
      <c r="E220" t="s">
        <v>83</v>
      </c>
      <c r="F220">
        <v>1</v>
      </c>
      <c r="G220">
        <v>1967</v>
      </c>
      <c r="H220">
        <v>0.52</v>
      </c>
      <c r="I220">
        <v>0.05</v>
      </c>
      <c r="J220">
        <v>899.2</v>
      </c>
      <c r="K220">
        <v>56.190476190476176</v>
      </c>
      <c r="L220">
        <v>944.16000000000008</v>
      </c>
      <c r="M220">
        <v>1180</v>
      </c>
      <c r="N220">
        <v>1180</v>
      </c>
      <c r="O220" t="s">
        <v>48</v>
      </c>
      <c r="P220">
        <v>1123.8095238095234</v>
      </c>
      <c r="Q220" t="s">
        <v>48</v>
      </c>
      <c r="R220">
        <v>1179.9999999999995</v>
      </c>
      <c r="S220" t="s">
        <v>522</v>
      </c>
      <c r="T220" t="s">
        <v>50</v>
      </c>
      <c r="U220" t="s">
        <v>522</v>
      </c>
      <c r="V220" t="s">
        <v>522</v>
      </c>
      <c r="W220" t="s">
        <v>48</v>
      </c>
      <c r="X220" t="s">
        <v>48</v>
      </c>
      <c r="Y220" t="s">
        <v>48</v>
      </c>
      <c r="Z220" t="s">
        <v>563</v>
      </c>
      <c r="AA220" t="s">
        <v>550</v>
      </c>
      <c r="AB220" t="s">
        <v>12</v>
      </c>
      <c r="AC220" t="s">
        <v>56</v>
      </c>
    </row>
    <row r="221" spans="1:29" x14ac:dyDescent="0.3">
      <c r="A221">
        <v>246</v>
      </c>
      <c r="B221" t="s">
        <v>44</v>
      </c>
      <c r="C221" t="s">
        <v>373</v>
      </c>
      <c r="D221" t="s">
        <v>76</v>
      </c>
      <c r="E221" t="s">
        <v>83</v>
      </c>
      <c r="F221">
        <v>1</v>
      </c>
      <c r="G221">
        <v>2999</v>
      </c>
      <c r="H221">
        <v>0.52</v>
      </c>
      <c r="I221">
        <v>0.05</v>
      </c>
      <c r="J221">
        <v>1370.97</v>
      </c>
      <c r="K221">
        <v>85.71428571428568</v>
      </c>
      <c r="L221">
        <v>1439.5185000000001</v>
      </c>
      <c r="M221">
        <v>1800</v>
      </c>
      <c r="N221">
        <v>1800</v>
      </c>
      <c r="O221" t="s">
        <v>48</v>
      </c>
      <c r="P221">
        <v>1714.2857142857135</v>
      </c>
      <c r="Q221" t="s">
        <v>48</v>
      </c>
      <c r="R221">
        <v>1799.9999999999993</v>
      </c>
      <c r="S221" t="s">
        <v>495</v>
      </c>
      <c r="T221" t="s">
        <v>50</v>
      </c>
      <c r="U221" t="s">
        <v>495</v>
      </c>
      <c r="V221" t="s">
        <v>495</v>
      </c>
      <c r="W221" t="s">
        <v>475</v>
      </c>
      <c r="X221" t="s">
        <v>553</v>
      </c>
      <c r="Y221" t="s">
        <v>48</v>
      </c>
      <c r="Z221" t="s">
        <v>564</v>
      </c>
      <c r="AA221" t="s">
        <v>550</v>
      </c>
      <c r="AB221" t="s">
        <v>12</v>
      </c>
      <c r="AC221" t="s">
        <v>56</v>
      </c>
    </row>
    <row r="222" spans="1:29" x14ac:dyDescent="0.3">
      <c r="A222">
        <v>247</v>
      </c>
      <c r="B222" t="s">
        <v>44</v>
      </c>
      <c r="C222" t="s">
        <v>274</v>
      </c>
      <c r="D222" t="s">
        <v>59</v>
      </c>
      <c r="E222" t="s">
        <v>83</v>
      </c>
      <c r="F222">
        <v>1</v>
      </c>
      <c r="G222">
        <v>2999</v>
      </c>
      <c r="H222">
        <v>0.52</v>
      </c>
      <c r="I222">
        <v>0.05</v>
      </c>
      <c r="J222">
        <v>1370.97</v>
      </c>
      <c r="K222">
        <v>85.71428571428568</v>
      </c>
      <c r="L222">
        <v>1439.5185000000001</v>
      </c>
      <c r="M222">
        <v>1800</v>
      </c>
      <c r="N222">
        <v>1800</v>
      </c>
      <c r="O222" t="s">
        <v>48</v>
      </c>
      <c r="P222">
        <v>1714.2857142857135</v>
      </c>
      <c r="Q222" t="s">
        <v>48</v>
      </c>
      <c r="R222">
        <v>1799.9999999999993</v>
      </c>
      <c r="S222" t="s">
        <v>320</v>
      </c>
      <c r="T222" t="s">
        <v>50</v>
      </c>
      <c r="U222" t="s">
        <v>320</v>
      </c>
      <c r="V222" t="s">
        <v>320</v>
      </c>
      <c r="W222" t="s">
        <v>529</v>
      </c>
      <c r="X222" t="s">
        <v>561</v>
      </c>
      <c r="Y222" t="s">
        <v>48</v>
      </c>
      <c r="Z222" t="s">
        <v>565</v>
      </c>
      <c r="AA222" t="s">
        <v>566</v>
      </c>
      <c r="AB222" t="s">
        <v>12</v>
      </c>
      <c r="AC222" t="s">
        <v>56</v>
      </c>
    </row>
    <row r="223" spans="1:29" x14ac:dyDescent="0.3">
      <c r="A223">
        <v>249</v>
      </c>
      <c r="B223" t="s">
        <v>68</v>
      </c>
      <c r="C223" t="s">
        <v>114</v>
      </c>
      <c r="D223" t="s">
        <v>76</v>
      </c>
      <c r="E223" t="s">
        <v>83</v>
      </c>
      <c r="F223">
        <v>1</v>
      </c>
      <c r="G223">
        <v>5000</v>
      </c>
      <c r="H223">
        <v>0.52</v>
      </c>
      <c r="I223">
        <v>0.05</v>
      </c>
      <c r="J223">
        <v>2285.71</v>
      </c>
      <c r="K223">
        <v>142.8571428571428</v>
      </c>
      <c r="L223">
        <v>2399.9955</v>
      </c>
      <c r="M223">
        <v>3000</v>
      </c>
      <c r="N223">
        <v>3000</v>
      </c>
      <c r="O223" t="s">
        <v>48</v>
      </c>
      <c r="P223">
        <v>2857.142857142856</v>
      </c>
      <c r="Q223" t="s">
        <v>48</v>
      </c>
      <c r="R223">
        <v>2999.9999999999986</v>
      </c>
      <c r="S223" t="s">
        <v>495</v>
      </c>
      <c r="T223" t="s">
        <v>50</v>
      </c>
      <c r="U223" t="s">
        <v>495</v>
      </c>
      <c r="V223" t="s">
        <v>495</v>
      </c>
      <c r="W223" t="s">
        <v>475</v>
      </c>
      <c r="X223" t="s">
        <v>553</v>
      </c>
      <c r="Y223" t="s">
        <v>48</v>
      </c>
      <c r="Z223" t="s">
        <v>567</v>
      </c>
      <c r="AA223" t="s">
        <v>566</v>
      </c>
      <c r="AB223" t="s">
        <v>12</v>
      </c>
      <c r="AC223" t="s">
        <v>56</v>
      </c>
    </row>
    <row r="224" spans="1:29" x14ac:dyDescent="0.3">
      <c r="A224">
        <v>250</v>
      </c>
      <c r="B224" t="s">
        <v>44</v>
      </c>
      <c r="C224" t="s">
        <v>57</v>
      </c>
      <c r="D224" t="s">
        <v>117</v>
      </c>
      <c r="E224" t="s">
        <v>83</v>
      </c>
      <c r="F224">
        <v>1</v>
      </c>
      <c r="G224">
        <v>1967</v>
      </c>
      <c r="H224">
        <v>0.52</v>
      </c>
      <c r="I224">
        <v>0.05</v>
      </c>
      <c r="J224">
        <v>899.2</v>
      </c>
      <c r="K224">
        <v>56.190476190476176</v>
      </c>
      <c r="L224">
        <v>944.16000000000008</v>
      </c>
      <c r="M224">
        <v>1180</v>
      </c>
      <c r="N224">
        <v>1180</v>
      </c>
      <c r="O224" t="s">
        <v>48</v>
      </c>
      <c r="P224">
        <v>1123.8095238095234</v>
      </c>
      <c r="Q224" t="s">
        <v>48</v>
      </c>
      <c r="R224">
        <v>1179.9999999999995</v>
      </c>
      <c r="S224" t="s">
        <v>568</v>
      </c>
      <c r="T224" t="s">
        <v>50</v>
      </c>
      <c r="U224" t="s">
        <v>228</v>
      </c>
      <c r="V224" t="s">
        <v>228</v>
      </c>
      <c r="W224" t="s">
        <v>48</v>
      </c>
      <c r="X224" t="s">
        <v>48</v>
      </c>
      <c r="Y224" t="s">
        <v>48</v>
      </c>
      <c r="Z224" t="s">
        <v>569</v>
      </c>
      <c r="AA224" t="s">
        <v>566</v>
      </c>
      <c r="AB224" t="s">
        <v>12</v>
      </c>
      <c r="AC224" t="s">
        <v>56</v>
      </c>
    </row>
    <row r="225" spans="1:29" x14ac:dyDescent="0.3">
      <c r="A225">
        <v>251</v>
      </c>
      <c r="B225" t="s">
        <v>44</v>
      </c>
      <c r="C225" t="s">
        <v>75</v>
      </c>
      <c r="D225" t="s">
        <v>76</v>
      </c>
      <c r="E225" t="s">
        <v>570</v>
      </c>
      <c r="F225">
        <v>1</v>
      </c>
      <c r="G225">
        <v>1967</v>
      </c>
      <c r="H225">
        <v>0.52</v>
      </c>
      <c r="I225">
        <v>0.05</v>
      </c>
      <c r="J225">
        <v>899.2</v>
      </c>
      <c r="K225">
        <v>65.571428571428541</v>
      </c>
      <c r="L225">
        <v>944.16000000000008</v>
      </c>
      <c r="M225">
        <v>1377</v>
      </c>
      <c r="N225">
        <v>1377</v>
      </c>
      <c r="O225" t="s">
        <v>48</v>
      </c>
      <c r="P225">
        <v>1311.4285714285709</v>
      </c>
      <c r="Q225" t="s">
        <v>48</v>
      </c>
      <c r="R225">
        <v>1376.9999999999993</v>
      </c>
      <c r="S225" t="s">
        <v>291</v>
      </c>
      <c r="T225" t="s">
        <v>50</v>
      </c>
      <c r="U225" t="s">
        <v>571</v>
      </c>
      <c r="V225" t="s">
        <v>571</v>
      </c>
      <c r="W225" t="s">
        <v>572</v>
      </c>
      <c r="X225" t="s">
        <v>573</v>
      </c>
      <c r="Y225" t="s">
        <v>48</v>
      </c>
      <c r="Z225" t="s">
        <v>574</v>
      </c>
      <c r="AA225" t="s">
        <v>566</v>
      </c>
      <c r="AB225" t="s">
        <v>12</v>
      </c>
      <c r="AC225" t="s">
        <v>56</v>
      </c>
    </row>
    <row r="226" spans="1:29" x14ac:dyDescent="0.3">
      <c r="A226">
        <v>252</v>
      </c>
      <c r="B226" t="s">
        <v>44</v>
      </c>
      <c r="C226" t="s">
        <v>75</v>
      </c>
      <c r="D226" t="s">
        <v>65</v>
      </c>
      <c r="E226" t="s">
        <v>453</v>
      </c>
      <c r="F226">
        <v>1</v>
      </c>
      <c r="G226">
        <v>1967</v>
      </c>
      <c r="H226">
        <v>0.52</v>
      </c>
      <c r="I226">
        <v>0.05</v>
      </c>
      <c r="J226">
        <v>899.2</v>
      </c>
      <c r="K226">
        <v>67.619047619047592</v>
      </c>
      <c r="L226">
        <v>944.16000000000008</v>
      </c>
      <c r="M226">
        <v>1420</v>
      </c>
      <c r="N226">
        <v>1420</v>
      </c>
      <c r="O226" t="s">
        <v>48</v>
      </c>
      <c r="P226">
        <v>1352.3809523809518</v>
      </c>
      <c r="Q226" t="s">
        <v>48</v>
      </c>
      <c r="R226">
        <v>1419.9999999999995</v>
      </c>
      <c r="S226" t="s">
        <v>137</v>
      </c>
      <c r="T226" t="s">
        <v>50</v>
      </c>
      <c r="U226" t="s">
        <v>137</v>
      </c>
      <c r="V226" t="s">
        <v>137</v>
      </c>
      <c r="W226" t="s">
        <v>475</v>
      </c>
      <c r="X226" t="s">
        <v>575</v>
      </c>
      <c r="Y226" t="s">
        <v>48</v>
      </c>
      <c r="Z226" t="s">
        <v>576</v>
      </c>
      <c r="AA226" t="s">
        <v>566</v>
      </c>
      <c r="AB226" t="s">
        <v>12</v>
      </c>
      <c r="AC226" t="s">
        <v>56</v>
      </c>
    </row>
    <row r="227" spans="1:29" x14ac:dyDescent="0.3">
      <c r="A227">
        <v>255</v>
      </c>
      <c r="B227" t="s">
        <v>68</v>
      </c>
      <c r="C227" t="s">
        <v>69</v>
      </c>
      <c r="D227" t="s">
        <v>76</v>
      </c>
      <c r="E227" t="s">
        <v>83</v>
      </c>
      <c r="F227">
        <v>1</v>
      </c>
      <c r="G227">
        <v>9000</v>
      </c>
      <c r="H227">
        <v>0.52</v>
      </c>
      <c r="I227">
        <v>0.18</v>
      </c>
      <c r="J227">
        <v>4320</v>
      </c>
      <c r="K227">
        <v>823.72881355932191</v>
      </c>
      <c r="L227">
        <v>5097.6000000000004</v>
      </c>
      <c r="M227">
        <v>5400</v>
      </c>
      <c r="N227">
        <v>5400</v>
      </c>
      <c r="O227" t="s">
        <v>48</v>
      </c>
      <c r="P227">
        <v>4576.2711864406774</v>
      </c>
      <c r="Q227" t="s">
        <v>48</v>
      </c>
      <c r="R227">
        <v>5399.9999999999991</v>
      </c>
      <c r="S227" t="s">
        <v>211</v>
      </c>
      <c r="T227" t="s">
        <v>88</v>
      </c>
      <c r="U227" t="s">
        <v>211</v>
      </c>
      <c r="V227" t="s">
        <v>211</v>
      </c>
      <c r="W227" t="s">
        <v>572</v>
      </c>
      <c r="X227" t="s">
        <v>577</v>
      </c>
      <c r="Y227" t="s">
        <v>48</v>
      </c>
      <c r="Z227" t="s">
        <v>578</v>
      </c>
      <c r="AA227" t="s">
        <v>566</v>
      </c>
      <c r="AB227" t="s">
        <v>12</v>
      </c>
      <c r="AC227" t="s">
        <v>56</v>
      </c>
    </row>
    <row r="228" spans="1:29" x14ac:dyDescent="0.3">
      <c r="A228">
        <v>256</v>
      </c>
      <c r="B228" t="s">
        <v>44</v>
      </c>
      <c r="C228" t="s">
        <v>64</v>
      </c>
      <c r="D228" t="s">
        <v>76</v>
      </c>
      <c r="E228" t="s">
        <v>453</v>
      </c>
      <c r="F228">
        <v>1</v>
      </c>
      <c r="G228">
        <v>4500</v>
      </c>
      <c r="H228">
        <v>0.52</v>
      </c>
      <c r="I228">
        <v>0.05</v>
      </c>
      <c r="J228">
        <v>2057.1419999999998</v>
      </c>
      <c r="K228">
        <v>123.80952380952377</v>
      </c>
      <c r="L228">
        <v>2159.9991</v>
      </c>
      <c r="M228">
        <v>2600</v>
      </c>
      <c r="N228">
        <v>2600</v>
      </c>
      <c r="O228" t="s">
        <v>48</v>
      </c>
      <c r="P228">
        <v>2476.1904761904752</v>
      </c>
      <c r="Q228" t="s">
        <v>48</v>
      </c>
      <c r="R228">
        <v>2599.9999999999991</v>
      </c>
      <c r="S228" t="s">
        <v>211</v>
      </c>
      <c r="T228" t="s">
        <v>88</v>
      </c>
      <c r="U228" t="s">
        <v>211</v>
      </c>
      <c r="V228" t="s">
        <v>211</v>
      </c>
      <c r="W228" t="s">
        <v>572</v>
      </c>
      <c r="X228" t="s">
        <v>577</v>
      </c>
      <c r="Y228" t="s">
        <v>48</v>
      </c>
      <c r="Z228" t="s">
        <v>579</v>
      </c>
      <c r="AA228" t="s">
        <v>566</v>
      </c>
      <c r="AB228" t="s">
        <v>12</v>
      </c>
      <c r="AC228" t="s">
        <v>56</v>
      </c>
    </row>
    <row r="229" spans="1:29" x14ac:dyDescent="0.3">
      <c r="A229">
        <v>257</v>
      </c>
      <c r="B229" t="s">
        <v>44</v>
      </c>
      <c r="C229" t="s">
        <v>274</v>
      </c>
      <c r="D229" t="s">
        <v>123</v>
      </c>
      <c r="E229" t="s">
        <v>83</v>
      </c>
      <c r="F229">
        <v>1</v>
      </c>
      <c r="G229">
        <v>2999</v>
      </c>
      <c r="H229">
        <v>0.52</v>
      </c>
      <c r="I229">
        <v>0.05</v>
      </c>
      <c r="J229">
        <v>1370.97</v>
      </c>
      <c r="K229">
        <v>85.71428571428568</v>
      </c>
      <c r="L229">
        <v>1439.5185000000001</v>
      </c>
      <c r="M229">
        <v>1800</v>
      </c>
      <c r="N229">
        <v>1800</v>
      </c>
      <c r="O229" t="s">
        <v>48</v>
      </c>
      <c r="P229">
        <v>1714.2857142857135</v>
      </c>
      <c r="Q229" t="s">
        <v>48</v>
      </c>
      <c r="R229">
        <v>1799.9999999999993</v>
      </c>
      <c r="S229" t="s">
        <v>580</v>
      </c>
      <c r="T229" t="s">
        <v>88</v>
      </c>
      <c r="U229" t="s">
        <v>580</v>
      </c>
      <c r="V229" t="s">
        <v>580</v>
      </c>
      <c r="W229" t="s">
        <v>572</v>
      </c>
      <c r="X229" t="s">
        <v>581</v>
      </c>
      <c r="Y229" t="s">
        <v>48</v>
      </c>
      <c r="Z229" t="s">
        <v>582</v>
      </c>
      <c r="AA229" t="s">
        <v>566</v>
      </c>
      <c r="AB229" t="s">
        <v>12</v>
      </c>
      <c r="AC229" t="s">
        <v>56</v>
      </c>
    </row>
    <row r="230" spans="1:29" x14ac:dyDescent="0.3">
      <c r="A230">
        <v>258</v>
      </c>
      <c r="B230" t="s">
        <v>68</v>
      </c>
      <c r="C230" t="s">
        <v>205</v>
      </c>
      <c r="D230" t="s">
        <v>65</v>
      </c>
      <c r="E230" t="s">
        <v>453</v>
      </c>
      <c r="F230">
        <v>1</v>
      </c>
      <c r="G230">
        <v>8010</v>
      </c>
      <c r="H230">
        <v>0.52</v>
      </c>
      <c r="I230">
        <v>0.18</v>
      </c>
      <c r="J230">
        <v>3258.31</v>
      </c>
      <c r="K230">
        <v>733.11864406779659</v>
      </c>
      <c r="L230">
        <v>3844.8058000000001</v>
      </c>
      <c r="M230">
        <v>4806</v>
      </c>
      <c r="N230">
        <v>4806</v>
      </c>
      <c r="O230" t="s">
        <v>48</v>
      </c>
      <c r="P230">
        <v>4072.8813559322034</v>
      </c>
      <c r="Q230" t="s">
        <v>48</v>
      </c>
      <c r="R230">
        <v>4806</v>
      </c>
      <c r="S230" t="s">
        <v>495</v>
      </c>
      <c r="T230" t="s">
        <v>88</v>
      </c>
      <c r="U230" t="s">
        <v>495</v>
      </c>
      <c r="V230" t="s">
        <v>495</v>
      </c>
      <c r="W230" t="s">
        <v>572</v>
      </c>
      <c r="X230" t="s">
        <v>583</v>
      </c>
      <c r="Y230" t="s">
        <v>48</v>
      </c>
      <c r="Z230" t="s">
        <v>584</v>
      </c>
      <c r="AA230" t="s">
        <v>566</v>
      </c>
      <c r="AB230" t="s">
        <v>12</v>
      </c>
      <c r="AC230" t="s">
        <v>56</v>
      </c>
    </row>
    <row r="231" spans="1:29" x14ac:dyDescent="0.3">
      <c r="A231">
        <v>259</v>
      </c>
      <c r="B231" t="s">
        <v>68</v>
      </c>
      <c r="C231" t="s">
        <v>141</v>
      </c>
      <c r="D231" t="s">
        <v>76</v>
      </c>
      <c r="E231" t="s">
        <v>453</v>
      </c>
      <c r="F231">
        <v>1</v>
      </c>
      <c r="G231">
        <v>7011</v>
      </c>
      <c r="H231">
        <v>0.52</v>
      </c>
      <c r="I231">
        <v>0.18</v>
      </c>
      <c r="J231">
        <v>2851.93</v>
      </c>
      <c r="K231">
        <v>695.13559322033893</v>
      </c>
      <c r="L231">
        <v>3365.2773999999999</v>
      </c>
      <c r="M231">
        <v>4557</v>
      </c>
      <c r="N231">
        <v>4557</v>
      </c>
      <c r="O231" t="s">
        <v>48</v>
      </c>
      <c r="P231">
        <v>3861.8644067796608</v>
      </c>
      <c r="Q231" t="s">
        <v>48</v>
      </c>
      <c r="R231">
        <v>4557</v>
      </c>
      <c r="S231" t="s">
        <v>585</v>
      </c>
      <c r="T231" t="s">
        <v>50</v>
      </c>
      <c r="U231" t="s">
        <v>585</v>
      </c>
      <c r="V231" t="s">
        <v>311</v>
      </c>
      <c r="W231" t="s">
        <v>586</v>
      </c>
      <c r="X231" t="s">
        <v>48</v>
      </c>
      <c r="Y231" t="s">
        <v>48</v>
      </c>
      <c r="Z231" t="s">
        <v>587</v>
      </c>
      <c r="AA231" t="s">
        <v>588</v>
      </c>
      <c r="AB231" t="s">
        <v>12</v>
      </c>
      <c r="AC231" t="s">
        <v>56</v>
      </c>
    </row>
    <row r="232" spans="1:29" x14ac:dyDescent="0.3">
      <c r="A232">
        <v>260</v>
      </c>
      <c r="B232" t="s">
        <v>68</v>
      </c>
      <c r="C232" t="s">
        <v>141</v>
      </c>
      <c r="D232" t="s">
        <v>65</v>
      </c>
      <c r="E232" t="s">
        <v>453</v>
      </c>
      <c r="F232">
        <v>1</v>
      </c>
      <c r="G232">
        <v>7011</v>
      </c>
      <c r="H232">
        <v>0.52</v>
      </c>
      <c r="I232">
        <v>0.18</v>
      </c>
      <c r="J232">
        <v>2851.93</v>
      </c>
      <c r="K232">
        <v>695.13559322033893</v>
      </c>
      <c r="L232">
        <v>3365.2773999999999</v>
      </c>
      <c r="M232">
        <v>4557</v>
      </c>
      <c r="N232">
        <v>4557</v>
      </c>
      <c r="O232" t="s">
        <v>48</v>
      </c>
      <c r="P232">
        <v>3861.8644067796608</v>
      </c>
      <c r="Q232" t="s">
        <v>48</v>
      </c>
      <c r="R232">
        <v>4557</v>
      </c>
      <c r="S232" t="s">
        <v>585</v>
      </c>
      <c r="T232" t="s">
        <v>50</v>
      </c>
      <c r="U232" t="s">
        <v>589</v>
      </c>
      <c r="V232" t="s">
        <v>311</v>
      </c>
      <c r="W232" t="s">
        <v>586</v>
      </c>
      <c r="X232" t="s">
        <v>48</v>
      </c>
      <c r="Y232" t="s">
        <v>48</v>
      </c>
      <c r="Z232" t="s">
        <v>590</v>
      </c>
      <c r="AA232" t="s">
        <v>588</v>
      </c>
      <c r="AB232" t="s">
        <v>12</v>
      </c>
      <c r="AC232" t="s">
        <v>56</v>
      </c>
    </row>
    <row r="233" spans="1:29" x14ac:dyDescent="0.3">
      <c r="A233">
        <v>261</v>
      </c>
      <c r="B233" t="s">
        <v>591</v>
      </c>
      <c r="C233" t="s">
        <v>592</v>
      </c>
      <c r="D233" t="s">
        <v>46</v>
      </c>
      <c r="E233" t="s">
        <v>570</v>
      </c>
      <c r="F233">
        <v>1</v>
      </c>
      <c r="G233">
        <v>2999</v>
      </c>
      <c r="H233">
        <v>0.52</v>
      </c>
      <c r="I233">
        <v>0.05</v>
      </c>
      <c r="J233">
        <v>1370.97</v>
      </c>
      <c r="K233">
        <v>68.548571428571407</v>
      </c>
      <c r="L233">
        <v>1439.5185000000001</v>
      </c>
      <c r="M233">
        <v>1439.52</v>
      </c>
      <c r="N233">
        <v>1439.52</v>
      </c>
      <c r="O233" t="s">
        <v>48</v>
      </c>
      <c r="P233">
        <v>1370.9714285714281</v>
      </c>
      <c r="Q233" t="s">
        <v>48</v>
      </c>
      <c r="R233">
        <v>1439.5199999999995</v>
      </c>
      <c r="S233" t="s">
        <v>219</v>
      </c>
      <c r="T233" t="s">
        <v>50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593</v>
      </c>
      <c r="AA233" t="s">
        <v>588</v>
      </c>
      <c r="AB233" t="s">
        <v>12</v>
      </c>
      <c r="AC233" t="s">
        <v>56</v>
      </c>
    </row>
    <row r="234" spans="1:29" x14ac:dyDescent="0.3">
      <c r="A234">
        <v>262</v>
      </c>
      <c r="B234" t="s">
        <v>591</v>
      </c>
      <c r="C234" t="s">
        <v>592</v>
      </c>
      <c r="D234" t="s">
        <v>117</v>
      </c>
      <c r="E234" t="s">
        <v>570</v>
      </c>
      <c r="F234">
        <v>1</v>
      </c>
      <c r="G234">
        <v>2999</v>
      </c>
      <c r="H234">
        <v>0.52</v>
      </c>
      <c r="I234">
        <v>0.05</v>
      </c>
      <c r="J234">
        <v>1370.97</v>
      </c>
      <c r="K234">
        <v>68.548571428571407</v>
      </c>
      <c r="L234">
        <v>1439.5185000000001</v>
      </c>
      <c r="M234">
        <v>1439.52</v>
      </c>
      <c r="N234">
        <v>1439.52</v>
      </c>
      <c r="O234" t="s">
        <v>48</v>
      </c>
      <c r="P234">
        <v>1370.9714285714281</v>
      </c>
      <c r="Q234" t="s">
        <v>48</v>
      </c>
      <c r="R234">
        <v>1439.5199999999995</v>
      </c>
      <c r="S234" t="s">
        <v>594</v>
      </c>
      <c r="T234" t="s">
        <v>50</v>
      </c>
      <c r="U234" t="s">
        <v>48</v>
      </c>
      <c r="V234" t="s">
        <v>48</v>
      </c>
      <c r="W234" t="s">
        <v>48</v>
      </c>
      <c r="X234" t="s">
        <v>48</v>
      </c>
      <c r="Y234" t="s">
        <v>48</v>
      </c>
      <c r="Z234" t="s">
        <v>595</v>
      </c>
      <c r="AA234" t="s">
        <v>588</v>
      </c>
      <c r="AB234" t="s">
        <v>12</v>
      </c>
      <c r="AC234" t="s">
        <v>56</v>
      </c>
    </row>
    <row r="235" spans="1:29" x14ac:dyDescent="0.3">
      <c r="A235">
        <v>263</v>
      </c>
      <c r="B235" t="s">
        <v>544</v>
      </c>
      <c r="C235" t="s">
        <v>560</v>
      </c>
      <c r="D235" t="s">
        <v>59</v>
      </c>
      <c r="E235" t="s">
        <v>570</v>
      </c>
      <c r="F235">
        <v>1</v>
      </c>
      <c r="G235">
        <v>6500</v>
      </c>
      <c r="H235">
        <v>0.52</v>
      </c>
      <c r="I235">
        <v>0.18</v>
      </c>
      <c r="J235">
        <v>2644.07</v>
      </c>
      <c r="K235">
        <v>148.57142857142853</v>
      </c>
      <c r="L235">
        <v>3120.0026000000003</v>
      </c>
      <c r="M235">
        <v>3120</v>
      </c>
      <c r="N235">
        <v>3120</v>
      </c>
      <c r="O235" t="s">
        <v>48</v>
      </c>
      <c r="P235">
        <v>2971.4285714285702</v>
      </c>
      <c r="Q235" t="s">
        <v>48</v>
      </c>
      <c r="R235">
        <v>3119.9999999999986</v>
      </c>
      <c r="S235" t="s">
        <v>596</v>
      </c>
      <c r="T235" t="s">
        <v>50</v>
      </c>
      <c r="U235" t="s">
        <v>48</v>
      </c>
      <c r="V235" t="s">
        <v>48</v>
      </c>
      <c r="W235" t="s">
        <v>48</v>
      </c>
      <c r="X235" t="s">
        <v>48</v>
      </c>
      <c r="Y235" t="s">
        <v>48</v>
      </c>
      <c r="Z235" t="s">
        <v>597</v>
      </c>
      <c r="AA235" t="s">
        <v>588</v>
      </c>
      <c r="AB235" t="s">
        <v>12</v>
      </c>
      <c r="AC235" t="s">
        <v>56</v>
      </c>
    </row>
    <row r="236" spans="1:29" x14ac:dyDescent="0.3">
      <c r="A236">
        <v>264</v>
      </c>
      <c r="B236" t="s">
        <v>68</v>
      </c>
      <c r="C236" t="s">
        <v>69</v>
      </c>
      <c r="D236" t="s">
        <v>65</v>
      </c>
      <c r="E236" t="s">
        <v>570</v>
      </c>
      <c r="F236">
        <v>1</v>
      </c>
      <c r="G236">
        <v>9000</v>
      </c>
      <c r="H236">
        <v>0.52</v>
      </c>
      <c r="I236">
        <v>0.18</v>
      </c>
      <c r="J236">
        <v>4320</v>
      </c>
      <c r="K236">
        <v>242.74285714285708</v>
      </c>
      <c r="L236">
        <v>5097.6000000000004</v>
      </c>
      <c r="M236">
        <v>5097.6000000000004</v>
      </c>
      <c r="N236">
        <v>5097.6000000000004</v>
      </c>
      <c r="O236" t="s">
        <v>48</v>
      </c>
      <c r="P236">
        <v>4854.8571428571413</v>
      </c>
      <c r="Q236" t="s">
        <v>48</v>
      </c>
      <c r="R236">
        <v>5097.5999999999985</v>
      </c>
      <c r="S236" t="s">
        <v>596</v>
      </c>
      <c r="T236" t="s">
        <v>50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598</v>
      </c>
      <c r="AA236" t="s">
        <v>588</v>
      </c>
      <c r="AB236" t="s">
        <v>12</v>
      </c>
      <c r="AC236" t="s">
        <v>56</v>
      </c>
    </row>
    <row r="237" spans="1:29" x14ac:dyDescent="0.3">
      <c r="A237">
        <v>265</v>
      </c>
      <c r="B237" t="s">
        <v>44</v>
      </c>
      <c r="C237" t="s">
        <v>64</v>
      </c>
      <c r="D237" t="s">
        <v>86</v>
      </c>
      <c r="E237" t="s">
        <v>453</v>
      </c>
      <c r="F237">
        <v>1</v>
      </c>
      <c r="G237">
        <v>4500</v>
      </c>
      <c r="H237">
        <v>0.52</v>
      </c>
      <c r="I237">
        <v>0.05</v>
      </c>
      <c r="J237">
        <v>2057.1419999999998</v>
      </c>
      <c r="K237">
        <v>128.57142857142853</v>
      </c>
      <c r="L237">
        <v>2159.9991</v>
      </c>
      <c r="M237">
        <v>2700</v>
      </c>
      <c r="N237">
        <v>2700</v>
      </c>
      <c r="O237" t="s">
        <v>48</v>
      </c>
      <c r="P237">
        <v>2571.4285714285702</v>
      </c>
      <c r="Q237" t="s">
        <v>48</v>
      </c>
      <c r="R237">
        <v>2699.9999999999986</v>
      </c>
      <c r="S237" t="s">
        <v>599</v>
      </c>
      <c r="T237" t="s">
        <v>50</v>
      </c>
      <c r="U237" t="s">
        <v>600</v>
      </c>
      <c r="V237" t="s">
        <v>48</v>
      </c>
      <c r="W237" t="s">
        <v>601</v>
      </c>
      <c r="X237" t="s">
        <v>48</v>
      </c>
      <c r="Y237" t="s">
        <v>48</v>
      </c>
      <c r="Z237" t="s">
        <v>602</v>
      </c>
      <c r="AA237" t="s">
        <v>603</v>
      </c>
      <c r="AB237" t="s">
        <v>12</v>
      </c>
      <c r="AC237" t="s">
        <v>56</v>
      </c>
    </row>
    <row r="238" spans="1:29" x14ac:dyDescent="0.3">
      <c r="A238">
        <v>266</v>
      </c>
      <c r="B238" t="s">
        <v>44</v>
      </c>
      <c r="C238" t="s">
        <v>64</v>
      </c>
      <c r="D238" t="s">
        <v>117</v>
      </c>
      <c r="E238" t="s">
        <v>453</v>
      </c>
      <c r="F238">
        <v>3</v>
      </c>
      <c r="G238">
        <v>4500</v>
      </c>
      <c r="H238">
        <v>0.52</v>
      </c>
      <c r="I238">
        <v>0.05</v>
      </c>
      <c r="J238">
        <v>2057.1419999999998</v>
      </c>
      <c r="K238">
        <v>385.71428571428555</v>
      </c>
      <c r="L238">
        <v>2159.9991</v>
      </c>
      <c r="M238">
        <v>2700</v>
      </c>
      <c r="N238">
        <v>8100</v>
      </c>
      <c r="O238" t="s">
        <v>48</v>
      </c>
      <c r="P238">
        <v>7714.285714285711</v>
      </c>
      <c r="Q238" t="s">
        <v>48</v>
      </c>
      <c r="R238">
        <v>8099.9999999999964</v>
      </c>
      <c r="S238" t="s">
        <v>599</v>
      </c>
      <c r="T238" t="s">
        <v>50</v>
      </c>
      <c r="U238" t="s">
        <v>600</v>
      </c>
      <c r="V238" t="s">
        <v>48</v>
      </c>
      <c r="W238" t="s">
        <v>601</v>
      </c>
      <c r="X238" t="s">
        <v>48</v>
      </c>
      <c r="Y238" t="s">
        <v>48</v>
      </c>
      <c r="Z238" t="s">
        <v>604</v>
      </c>
      <c r="AA238" t="s">
        <v>603</v>
      </c>
      <c r="AB238" t="s">
        <v>12</v>
      </c>
      <c r="AC238" t="s">
        <v>56</v>
      </c>
    </row>
    <row r="239" spans="1:29" x14ac:dyDescent="0.3">
      <c r="A239">
        <v>267</v>
      </c>
      <c r="B239" t="s">
        <v>44</v>
      </c>
      <c r="C239" t="s">
        <v>64</v>
      </c>
      <c r="D239" t="s">
        <v>76</v>
      </c>
      <c r="E239" t="s">
        <v>453</v>
      </c>
      <c r="F239">
        <v>3</v>
      </c>
      <c r="G239">
        <v>4500</v>
      </c>
      <c r="H239">
        <v>0.52</v>
      </c>
      <c r="I239">
        <v>0.05</v>
      </c>
      <c r="J239">
        <v>2057.1419999999998</v>
      </c>
      <c r="K239">
        <v>385.71428571428555</v>
      </c>
      <c r="L239">
        <v>2159.9991</v>
      </c>
      <c r="M239">
        <v>2700</v>
      </c>
      <c r="N239">
        <v>8100</v>
      </c>
      <c r="O239" t="s">
        <v>48</v>
      </c>
      <c r="P239">
        <v>7714.285714285711</v>
      </c>
      <c r="Q239" t="s">
        <v>48</v>
      </c>
      <c r="R239">
        <v>8099.9999999999964</v>
      </c>
      <c r="S239" t="s">
        <v>599</v>
      </c>
      <c r="T239" t="s">
        <v>50</v>
      </c>
      <c r="U239" t="s">
        <v>600</v>
      </c>
      <c r="V239" t="s">
        <v>48</v>
      </c>
      <c r="W239" t="s">
        <v>601</v>
      </c>
      <c r="X239" t="s">
        <v>48</v>
      </c>
      <c r="Y239" t="s">
        <v>48</v>
      </c>
      <c r="Z239" t="s">
        <v>605</v>
      </c>
      <c r="AA239" t="s">
        <v>603</v>
      </c>
      <c r="AB239" t="s">
        <v>12</v>
      </c>
      <c r="AC239" t="s">
        <v>56</v>
      </c>
    </row>
    <row r="240" spans="1:29" x14ac:dyDescent="0.3">
      <c r="A240">
        <v>268</v>
      </c>
      <c r="B240" t="s">
        <v>44</v>
      </c>
      <c r="C240" t="s">
        <v>64</v>
      </c>
      <c r="D240" t="s">
        <v>59</v>
      </c>
      <c r="E240" t="s">
        <v>453</v>
      </c>
      <c r="F240">
        <v>3</v>
      </c>
      <c r="G240">
        <v>4500</v>
      </c>
      <c r="H240">
        <v>0.52</v>
      </c>
      <c r="I240">
        <v>0.05</v>
      </c>
      <c r="J240">
        <v>2057.1419999999998</v>
      </c>
      <c r="K240">
        <v>385.71428571428555</v>
      </c>
      <c r="L240">
        <v>2159.9991</v>
      </c>
      <c r="M240">
        <v>2700</v>
      </c>
      <c r="N240">
        <v>8100</v>
      </c>
      <c r="O240" t="s">
        <v>48</v>
      </c>
      <c r="P240">
        <v>7714.285714285711</v>
      </c>
      <c r="Q240" t="s">
        <v>48</v>
      </c>
      <c r="R240">
        <v>8099.9999999999964</v>
      </c>
      <c r="S240" t="s">
        <v>599</v>
      </c>
      <c r="T240" t="s">
        <v>50</v>
      </c>
      <c r="U240" t="s">
        <v>600</v>
      </c>
      <c r="V240" t="s">
        <v>48</v>
      </c>
      <c r="W240" t="s">
        <v>601</v>
      </c>
      <c r="X240" t="s">
        <v>48</v>
      </c>
      <c r="Y240" t="s">
        <v>48</v>
      </c>
      <c r="Z240" t="s">
        <v>606</v>
      </c>
      <c r="AA240" t="s">
        <v>603</v>
      </c>
      <c r="AB240" t="s">
        <v>12</v>
      </c>
      <c r="AC240" t="s">
        <v>56</v>
      </c>
    </row>
    <row r="241" spans="1:29" x14ac:dyDescent="0.3">
      <c r="A241">
        <v>269</v>
      </c>
      <c r="B241" t="s">
        <v>44</v>
      </c>
      <c r="C241" t="s">
        <v>64</v>
      </c>
      <c r="D241" t="s">
        <v>65</v>
      </c>
      <c r="E241" t="s">
        <v>453</v>
      </c>
      <c r="F241">
        <v>4</v>
      </c>
      <c r="G241">
        <v>4500</v>
      </c>
      <c r="H241">
        <v>0.52</v>
      </c>
      <c r="I241">
        <v>0.05</v>
      </c>
      <c r="J241">
        <v>2057.1419999999998</v>
      </c>
      <c r="K241">
        <v>514.28571428571411</v>
      </c>
      <c r="L241">
        <v>2159.9991</v>
      </c>
      <c r="M241">
        <v>2700</v>
      </c>
      <c r="N241">
        <v>10800</v>
      </c>
      <c r="O241" t="s">
        <v>48</v>
      </c>
      <c r="P241">
        <v>10285.714285714281</v>
      </c>
      <c r="Q241" t="s">
        <v>48</v>
      </c>
      <c r="R241">
        <v>10799.999999999995</v>
      </c>
      <c r="S241" t="s">
        <v>599</v>
      </c>
      <c r="T241" t="s">
        <v>50</v>
      </c>
      <c r="U241" t="s">
        <v>600</v>
      </c>
      <c r="V241" t="s">
        <v>48</v>
      </c>
      <c r="W241" t="s">
        <v>601</v>
      </c>
      <c r="X241" t="s">
        <v>48</v>
      </c>
      <c r="Y241" t="s">
        <v>48</v>
      </c>
      <c r="Z241" t="s">
        <v>607</v>
      </c>
      <c r="AA241" t="s">
        <v>603</v>
      </c>
      <c r="AB241" t="s">
        <v>12</v>
      </c>
      <c r="AC241" t="s">
        <v>56</v>
      </c>
    </row>
    <row r="242" spans="1:29" x14ac:dyDescent="0.3">
      <c r="A242">
        <v>270</v>
      </c>
      <c r="B242" t="s">
        <v>44</v>
      </c>
      <c r="C242" t="s">
        <v>64</v>
      </c>
      <c r="D242" t="s">
        <v>99</v>
      </c>
      <c r="E242" t="s">
        <v>453</v>
      </c>
      <c r="F242">
        <v>1</v>
      </c>
      <c r="G242">
        <v>4500</v>
      </c>
      <c r="H242">
        <v>0.52</v>
      </c>
      <c r="I242">
        <v>0.05</v>
      </c>
      <c r="J242">
        <v>2057.1419999999998</v>
      </c>
      <c r="K242">
        <v>128.57142857142853</v>
      </c>
      <c r="L242">
        <v>2159.9991</v>
      </c>
      <c r="M242">
        <v>2700</v>
      </c>
      <c r="N242">
        <v>2700</v>
      </c>
      <c r="O242" t="s">
        <v>48</v>
      </c>
      <c r="P242">
        <v>2571.4285714285702</v>
      </c>
      <c r="Q242" t="s">
        <v>48</v>
      </c>
      <c r="R242">
        <v>2699.9999999999986</v>
      </c>
      <c r="S242" t="s">
        <v>599</v>
      </c>
      <c r="T242" t="s">
        <v>50</v>
      </c>
      <c r="U242" t="s">
        <v>600</v>
      </c>
      <c r="V242" t="s">
        <v>48</v>
      </c>
      <c r="W242" t="s">
        <v>601</v>
      </c>
      <c r="X242" t="s">
        <v>48</v>
      </c>
      <c r="Y242" t="s">
        <v>48</v>
      </c>
      <c r="Z242" t="s">
        <v>608</v>
      </c>
      <c r="AA242" t="s">
        <v>603</v>
      </c>
      <c r="AB242" t="s">
        <v>12</v>
      </c>
      <c r="AC242" t="s">
        <v>56</v>
      </c>
    </row>
    <row r="243" spans="1:29" x14ac:dyDescent="0.3">
      <c r="A243">
        <v>271</v>
      </c>
      <c r="B243" t="s">
        <v>44</v>
      </c>
      <c r="C243" t="s">
        <v>111</v>
      </c>
      <c r="D243" t="s">
        <v>117</v>
      </c>
      <c r="E243" t="s">
        <v>453</v>
      </c>
      <c r="F243">
        <v>2</v>
      </c>
      <c r="G243">
        <v>4590</v>
      </c>
      <c r="H243">
        <v>0.52</v>
      </c>
      <c r="I243">
        <v>0.05</v>
      </c>
      <c r="J243">
        <v>2057.1419999999998</v>
      </c>
      <c r="K243">
        <v>262.28571428571416</v>
      </c>
      <c r="L243">
        <v>2159.9991</v>
      </c>
      <c r="M243">
        <v>2754</v>
      </c>
      <c r="N243">
        <v>5508</v>
      </c>
      <c r="O243" t="s">
        <v>48</v>
      </c>
      <c r="P243">
        <v>5245.7142857142835</v>
      </c>
      <c r="Q243" t="s">
        <v>48</v>
      </c>
      <c r="R243">
        <v>5507.9999999999973</v>
      </c>
      <c r="S243" t="s">
        <v>599</v>
      </c>
      <c r="T243" t="s">
        <v>50</v>
      </c>
      <c r="U243" t="s">
        <v>609</v>
      </c>
      <c r="V243" t="s">
        <v>48</v>
      </c>
      <c r="W243" t="s">
        <v>601</v>
      </c>
      <c r="X243" t="s">
        <v>48</v>
      </c>
      <c r="Y243" t="s">
        <v>48</v>
      </c>
      <c r="Z243" t="s">
        <v>610</v>
      </c>
      <c r="AA243" t="s">
        <v>603</v>
      </c>
      <c r="AB243" t="s">
        <v>12</v>
      </c>
      <c r="AC243" t="s">
        <v>56</v>
      </c>
    </row>
    <row r="244" spans="1:29" x14ac:dyDescent="0.3">
      <c r="A244">
        <v>272</v>
      </c>
      <c r="B244" t="s">
        <v>44</v>
      </c>
      <c r="C244" t="s">
        <v>111</v>
      </c>
      <c r="D244" t="s">
        <v>76</v>
      </c>
      <c r="E244" t="s">
        <v>453</v>
      </c>
      <c r="F244">
        <v>4</v>
      </c>
      <c r="G244">
        <v>4590</v>
      </c>
      <c r="H244">
        <v>0.52</v>
      </c>
      <c r="I244">
        <v>0.05</v>
      </c>
      <c r="J244">
        <v>2057.1419999999998</v>
      </c>
      <c r="K244">
        <v>524.57142857142833</v>
      </c>
      <c r="L244">
        <v>2159.9991</v>
      </c>
      <c r="M244">
        <v>2754</v>
      </c>
      <c r="N244">
        <v>11016</v>
      </c>
      <c r="O244" t="s">
        <v>48</v>
      </c>
      <c r="P244">
        <v>10491.428571428567</v>
      </c>
      <c r="Q244" t="s">
        <v>48</v>
      </c>
      <c r="R244">
        <v>11015.999999999995</v>
      </c>
      <c r="S244" t="s">
        <v>599</v>
      </c>
      <c r="T244" t="s">
        <v>50</v>
      </c>
      <c r="U244" t="s">
        <v>609</v>
      </c>
      <c r="V244" t="s">
        <v>48</v>
      </c>
      <c r="W244" t="s">
        <v>601</v>
      </c>
      <c r="X244" t="s">
        <v>48</v>
      </c>
      <c r="Y244" t="s">
        <v>48</v>
      </c>
      <c r="Z244" t="s">
        <v>611</v>
      </c>
      <c r="AA244" t="s">
        <v>603</v>
      </c>
      <c r="AB244" t="s">
        <v>12</v>
      </c>
      <c r="AC244" t="s">
        <v>56</v>
      </c>
    </row>
    <row r="245" spans="1:29" x14ac:dyDescent="0.3">
      <c r="A245">
        <v>273</v>
      </c>
      <c r="B245" t="s">
        <v>44</v>
      </c>
      <c r="C245" t="s">
        <v>111</v>
      </c>
      <c r="D245" t="s">
        <v>59</v>
      </c>
      <c r="E245" t="s">
        <v>453</v>
      </c>
      <c r="F245">
        <v>4</v>
      </c>
      <c r="G245">
        <v>4590</v>
      </c>
      <c r="H245">
        <v>0.52</v>
      </c>
      <c r="I245">
        <v>0.05</v>
      </c>
      <c r="J245">
        <v>2057.1419999999998</v>
      </c>
      <c r="K245">
        <v>524.57142857142833</v>
      </c>
      <c r="L245">
        <v>2159.9991</v>
      </c>
      <c r="M245">
        <v>2754</v>
      </c>
      <c r="N245">
        <v>11016</v>
      </c>
      <c r="O245" t="s">
        <v>48</v>
      </c>
      <c r="P245">
        <v>10491.428571428567</v>
      </c>
      <c r="Q245" t="s">
        <v>48</v>
      </c>
      <c r="R245">
        <v>11015.999999999995</v>
      </c>
      <c r="S245" t="s">
        <v>599</v>
      </c>
      <c r="T245" t="s">
        <v>50</v>
      </c>
      <c r="U245" t="s">
        <v>609</v>
      </c>
      <c r="V245" t="s">
        <v>48</v>
      </c>
      <c r="W245" t="s">
        <v>601</v>
      </c>
      <c r="X245" t="s">
        <v>48</v>
      </c>
      <c r="Y245" t="s">
        <v>48</v>
      </c>
      <c r="Z245" t="s">
        <v>612</v>
      </c>
      <c r="AA245" t="s">
        <v>603</v>
      </c>
      <c r="AB245" t="s">
        <v>12</v>
      </c>
      <c r="AC245" t="s">
        <v>56</v>
      </c>
    </row>
    <row r="246" spans="1:29" x14ac:dyDescent="0.3">
      <c r="A246">
        <v>274</v>
      </c>
      <c r="B246" t="s">
        <v>44</v>
      </c>
      <c r="C246" t="s">
        <v>111</v>
      </c>
      <c r="D246" t="s">
        <v>65</v>
      </c>
      <c r="E246" t="s">
        <v>453</v>
      </c>
      <c r="F246">
        <v>2</v>
      </c>
      <c r="G246">
        <v>4590</v>
      </c>
      <c r="H246">
        <v>0.52</v>
      </c>
      <c r="I246">
        <v>0.05</v>
      </c>
      <c r="J246">
        <v>2057.1419999999998</v>
      </c>
      <c r="K246">
        <v>262.28571428571416</v>
      </c>
      <c r="L246">
        <v>2159.9991</v>
      </c>
      <c r="M246">
        <v>2754</v>
      </c>
      <c r="N246">
        <v>5508</v>
      </c>
      <c r="O246" t="s">
        <v>48</v>
      </c>
      <c r="P246">
        <v>5245.7142857142835</v>
      </c>
      <c r="Q246" t="s">
        <v>48</v>
      </c>
      <c r="R246">
        <v>5507.9999999999973</v>
      </c>
      <c r="S246" t="s">
        <v>599</v>
      </c>
      <c r="T246" t="s">
        <v>50</v>
      </c>
      <c r="U246" t="s">
        <v>609</v>
      </c>
      <c r="V246" t="s">
        <v>48</v>
      </c>
      <c r="W246" t="s">
        <v>601</v>
      </c>
      <c r="X246" t="s">
        <v>48</v>
      </c>
      <c r="Y246" t="s">
        <v>48</v>
      </c>
      <c r="Z246" t="s">
        <v>613</v>
      </c>
      <c r="AA246" t="s">
        <v>603</v>
      </c>
      <c r="AB246" t="s">
        <v>12</v>
      </c>
      <c r="AC246" t="s">
        <v>56</v>
      </c>
    </row>
    <row r="247" spans="1:29" x14ac:dyDescent="0.3">
      <c r="A247">
        <v>275</v>
      </c>
      <c r="B247" t="s">
        <v>44</v>
      </c>
      <c r="C247" t="s">
        <v>111</v>
      </c>
      <c r="D247" t="s">
        <v>76</v>
      </c>
      <c r="E247" t="s">
        <v>614</v>
      </c>
      <c r="F247">
        <v>2</v>
      </c>
      <c r="G247">
        <v>4590</v>
      </c>
      <c r="H247">
        <v>0.56000000000000005</v>
      </c>
      <c r="I247">
        <v>0.05</v>
      </c>
      <c r="J247">
        <v>1923.43</v>
      </c>
      <c r="K247">
        <v>262.28571428571416</v>
      </c>
      <c r="L247">
        <v>2019.6015</v>
      </c>
      <c r="M247">
        <v>2754</v>
      </c>
      <c r="N247">
        <v>5508</v>
      </c>
      <c r="O247" t="s">
        <v>48</v>
      </c>
      <c r="P247">
        <v>5245.7142857142835</v>
      </c>
      <c r="Q247" t="s">
        <v>48</v>
      </c>
      <c r="R247">
        <v>5507.9999999999973</v>
      </c>
      <c r="S247" t="s">
        <v>599</v>
      </c>
      <c r="T247" t="s">
        <v>50</v>
      </c>
      <c r="U247" t="s">
        <v>609</v>
      </c>
      <c r="V247" t="s">
        <v>48</v>
      </c>
      <c r="W247" t="s">
        <v>601</v>
      </c>
      <c r="X247" t="s">
        <v>48</v>
      </c>
      <c r="Y247" t="s">
        <v>48</v>
      </c>
      <c r="Z247" t="s">
        <v>615</v>
      </c>
      <c r="AA247" t="s">
        <v>603</v>
      </c>
      <c r="AB247" t="s">
        <v>12</v>
      </c>
      <c r="AC247" t="s">
        <v>56</v>
      </c>
    </row>
    <row r="248" spans="1:29" x14ac:dyDescent="0.3">
      <c r="A248">
        <v>276</v>
      </c>
      <c r="B248" t="s">
        <v>44</v>
      </c>
      <c r="C248" t="s">
        <v>111</v>
      </c>
      <c r="D248" t="s">
        <v>59</v>
      </c>
      <c r="E248" t="s">
        <v>614</v>
      </c>
      <c r="F248">
        <v>3</v>
      </c>
      <c r="G248">
        <v>4590</v>
      </c>
      <c r="H248">
        <v>0.56000000000000005</v>
      </c>
      <c r="I248">
        <v>0.05</v>
      </c>
      <c r="J248">
        <v>1923.43</v>
      </c>
      <c r="K248">
        <v>393.42857142857133</v>
      </c>
      <c r="L248">
        <v>2019.6015</v>
      </c>
      <c r="M248">
        <v>2754</v>
      </c>
      <c r="N248">
        <v>8262</v>
      </c>
      <c r="O248" t="s">
        <v>48</v>
      </c>
      <c r="P248">
        <v>7868.5714285714257</v>
      </c>
      <c r="Q248" t="s">
        <v>48</v>
      </c>
      <c r="R248">
        <v>8261.9999999999964</v>
      </c>
      <c r="S248" t="s">
        <v>599</v>
      </c>
      <c r="T248" t="s">
        <v>50</v>
      </c>
      <c r="U248" t="s">
        <v>609</v>
      </c>
      <c r="V248" t="s">
        <v>48</v>
      </c>
      <c r="W248" t="s">
        <v>601</v>
      </c>
      <c r="X248" t="s">
        <v>48</v>
      </c>
      <c r="Y248" t="s">
        <v>48</v>
      </c>
      <c r="Z248" t="s">
        <v>616</v>
      </c>
      <c r="AA248" t="s">
        <v>603</v>
      </c>
      <c r="AB248" t="s">
        <v>12</v>
      </c>
      <c r="AC248" t="s">
        <v>56</v>
      </c>
    </row>
    <row r="249" spans="1:29" x14ac:dyDescent="0.3">
      <c r="A249">
        <v>277</v>
      </c>
      <c r="B249" t="s">
        <v>44</v>
      </c>
      <c r="C249" t="s">
        <v>111</v>
      </c>
      <c r="D249" t="s">
        <v>65</v>
      </c>
      <c r="E249" t="s">
        <v>614</v>
      </c>
      <c r="F249">
        <v>2</v>
      </c>
      <c r="G249">
        <v>4590</v>
      </c>
      <c r="H249">
        <v>0.56000000000000005</v>
      </c>
      <c r="I249">
        <v>0.05</v>
      </c>
      <c r="J249">
        <v>1923.43</v>
      </c>
      <c r="K249">
        <v>262.28571428571416</v>
      </c>
      <c r="L249">
        <v>2019.6015</v>
      </c>
      <c r="M249">
        <v>2754</v>
      </c>
      <c r="N249">
        <v>5508</v>
      </c>
      <c r="O249" t="s">
        <v>48</v>
      </c>
      <c r="P249">
        <v>5245.7142857142835</v>
      </c>
      <c r="Q249" t="s">
        <v>48</v>
      </c>
      <c r="R249">
        <v>5507.9999999999973</v>
      </c>
      <c r="S249" t="s">
        <v>599</v>
      </c>
      <c r="T249" t="s">
        <v>50</v>
      </c>
      <c r="U249" t="s">
        <v>609</v>
      </c>
      <c r="V249" t="s">
        <v>48</v>
      </c>
      <c r="W249" t="s">
        <v>601</v>
      </c>
      <c r="X249" t="s">
        <v>48</v>
      </c>
      <c r="Y249" t="s">
        <v>48</v>
      </c>
      <c r="Z249" t="s">
        <v>617</v>
      </c>
      <c r="AA249" t="s">
        <v>603</v>
      </c>
      <c r="AB249" t="s">
        <v>12</v>
      </c>
      <c r="AC249" t="s">
        <v>56</v>
      </c>
    </row>
    <row r="250" spans="1:29" x14ac:dyDescent="0.3">
      <c r="A250">
        <v>278</v>
      </c>
      <c r="B250" t="s">
        <v>238</v>
      </c>
      <c r="C250" t="s">
        <v>383</v>
      </c>
      <c r="D250" t="s">
        <v>99</v>
      </c>
      <c r="E250" t="s">
        <v>453</v>
      </c>
      <c r="F250">
        <v>1</v>
      </c>
      <c r="G250">
        <v>2799</v>
      </c>
      <c r="H250">
        <v>0.52</v>
      </c>
      <c r="I250">
        <v>0.05</v>
      </c>
      <c r="J250">
        <v>1279.54</v>
      </c>
      <c r="K250">
        <v>79.999999999999972</v>
      </c>
      <c r="L250">
        <v>1343.5170000000001</v>
      </c>
      <c r="M250">
        <v>1680</v>
      </c>
      <c r="N250">
        <v>1680</v>
      </c>
      <c r="O250" t="s">
        <v>48</v>
      </c>
      <c r="P250">
        <v>1599.9999999999993</v>
      </c>
      <c r="Q250" t="s">
        <v>48</v>
      </c>
      <c r="R250">
        <v>1679.9999999999993</v>
      </c>
      <c r="S250" t="s">
        <v>599</v>
      </c>
      <c r="T250" t="s">
        <v>50</v>
      </c>
      <c r="U250" t="s">
        <v>609</v>
      </c>
      <c r="V250" t="s">
        <v>48</v>
      </c>
      <c r="W250" t="s">
        <v>601</v>
      </c>
      <c r="X250" t="s">
        <v>48</v>
      </c>
      <c r="Y250" t="s">
        <v>48</v>
      </c>
      <c r="Z250" t="s">
        <v>618</v>
      </c>
      <c r="AA250" t="s">
        <v>603</v>
      </c>
      <c r="AB250" t="s">
        <v>12</v>
      </c>
      <c r="AC250" t="s">
        <v>56</v>
      </c>
    </row>
    <row r="251" spans="1:29" x14ac:dyDescent="0.3">
      <c r="A251">
        <v>279</v>
      </c>
      <c r="B251" t="s">
        <v>238</v>
      </c>
      <c r="C251" t="s">
        <v>619</v>
      </c>
      <c r="D251" t="s">
        <v>65</v>
      </c>
      <c r="E251" t="s">
        <v>453</v>
      </c>
      <c r="F251">
        <v>1</v>
      </c>
      <c r="G251">
        <v>2799</v>
      </c>
      <c r="H251">
        <v>0.52</v>
      </c>
      <c r="I251">
        <v>0.05</v>
      </c>
      <c r="J251">
        <v>1279.54</v>
      </c>
      <c r="K251">
        <v>79.999999999999972</v>
      </c>
      <c r="L251">
        <v>1343.5170000000001</v>
      </c>
      <c r="M251">
        <v>1680</v>
      </c>
      <c r="N251">
        <v>1680</v>
      </c>
      <c r="O251" t="s">
        <v>48</v>
      </c>
      <c r="P251">
        <v>1599.9999999999993</v>
      </c>
      <c r="Q251" t="s">
        <v>48</v>
      </c>
      <c r="R251">
        <v>1679.9999999999993</v>
      </c>
      <c r="S251" t="s">
        <v>599</v>
      </c>
      <c r="T251" t="s">
        <v>50</v>
      </c>
      <c r="U251" t="s">
        <v>609</v>
      </c>
      <c r="V251" t="s">
        <v>48</v>
      </c>
      <c r="W251" t="s">
        <v>601</v>
      </c>
      <c r="X251" t="s">
        <v>48</v>
      </c>
      <c r="Y251" t="s">
        <v>48</v>
      </c>
      <c r="Z251" t="s">
        <v>620</v>
      </c>
      <c r="AA251" t="s">
        <v>621</v>
      </c>
      <c r="AB251" t="s">
        <v>12</v>
      </c>
      <c r="AC251" t="s">
        <v>56</v>
      </c>
    </row>
    <row r="252" spans="1:29" x14ac:dyDescent="0.3">
      <c r="A252">
        <v>280</v>
      </c>
      <c r="B252" t="s">
        <v>44</v>
      </c>
      <c r="C252" t="s">
        <v>111</v>
      </c>
      <c r="D252" t="s">
        <v>59</v>
      </c>
      <c r="E252" t="s">
        <v>453</v>
      </c>
      <c r="F252">
        <v>5</v>
      </c>
      <c r="G252">
        <v>4590</v>
      </c>
      <c r="H252">
        <v>0.52</v>
      </c>
      <c r="I252">
        <v>0.05</v>
      </c>
      <c r="J252">
        <v>2057.1419999999998</v>
      </c>
      <c r="K252">
        <v>655.71428571428544</v>
      </c>
      <c r="L252">
        <v>2159.9991</v>
      </c>
      <c r="M252">
        <v>2754</v>
      </c>
      <c r="N252">
        <v>13770</v>
      </c>
      <c r="O252" t="s">
        <v>48</v>
      </c>
      <c r="P252">
        <v>13114.285714285708</v>
      </c>
      <c r="Q252" t="s">
        <v>48</v>
      </c>
      <c r="R252">
        <v>13769.999999999995</v>
      </c>
      <c r="S252" t="s">
        <v>599</v>
      </c>
      <c r="T252" t="s">
        <v>50</v>
      </c>
      <c r="U252" t="s">
        <v>622</v>
      </c>
      <c r="V252" t="s">
        <v>48</v>
      </c>
      <c r="W252" t="s">
        <v>601</v>
      </c>
      <c r="X252" t="s">
        <v>48</v>
      </c>
      <c r="Y252" t="s">
        <v>48</v>
      </c>
      <c r="Z252" t="s">
        <v>623</v>
      </c>
      <c r="AA252" t="s">
        <v>621</v>
      </c>
      <c r="AB252" t="s">
        <v>12</v>
      </c>
      <c r="AC252" t="s">
        <v>56</v>
      </c>
    </row>
    <row r="253" spans="1:29" x14ac:dyDescent="0.3">
      <c r="A253">
        <v>281</v>
      </c>
      <c r="B253" t="s">
        <v>44</v>
      </c>
      <c r="C253" t="s">
        <v>111</v>
      </c>
      <c r="D253" t="s">
        <v>65</v>
      </c>
      <c r="E253" t="s">
        <v>453</v>
      </c>
      <c r="F253">
        <v>5</v>
      </c>
      <c r="G253">
        <v>4590</v>
      </c>
      <c r="H253">
        <v>0.52</v>
      </c>
      <c r="I253">
        <v>0.05</v>
      </c>
      <c r="J253">
        <v>2057.1419999999998</v>
      </c>
      <c r="K253">
        <v>655.71428571428544</v>
      </c>
      <c r="L253">
        <v>2159.9991</v>
      </c>
      <c r="M253">
        <v>2754</v>
      </c>
      <c r="N253">
        <v>13770</v>
      </c>
      <c r="O253" t="s">
        <v>48</v>
      </c>
      <c r="P253">
        <v>13114.285714285708</v>
      </c>
      <c r="Q253" t="s">
        <v>48</v>
      </c>
      <c r="R253">
        <v>13769.999999999995</v>
      </c>
      <c r="S253" t="s">
        <v>599</v>
      </c>
      <c r="T253" t="s">
        <v>50</v>
      </c>
      <c r="U253" t="s">
        <v>622</v>
      </c>
      <c r="V253" t="s">
        <v>48</v>
      </c>
      <c r="W253" t="s">
        <v>601</v>
      </c>
      <c r="X253" t="s">
        <v>48</v>
      </c>
      <c r="Y253" t="s">
        <v>48</v>
      </c>
      <c r="Z253" t="s">
        <v>624</v>
      </c>
      <c r="AA253" t="s">
        <v>621</v>
      </c>
      <c r="AB253" t="s">
        <v>12</v>
      </c>
      <c r="AC253" t="s">
        <v>56</v>
      </c>
    </row>
    <row r="254" spans="1:29" x14ac:dyDescent="0.3">
      <c r="A254">
        <v>282</v>
      </c>
      <c r="B254" t="s">
        <v>44</v>
      </c>
      <c r="C254" t="s">
        <v>111</v>
      </c>
      <c r="D254" t="s">
        <v>99</v>
      </c>
      <c r="E254" t="s">
        <v>453</v>
      </c>
      <c r="F254">
        <v>2</v>
      </c>
      <c r="G254">
        <v>4590</v>
      </c>
      <c r="H254">
        <v>0.52</v>
      </c>
      <c r="I254">
        <v>0.05</v>
      </c>
      <c r="J254">
        <v>2057.1419999999998</v>
      </c>
      <c r="K254">
        <v>262.28571428571416</v>
      </c>
      <c r="L254">
        <v>2159.9991</v>
      </c>
      <c r="M254">
        <v>2754</v>
      </c>
      <c r="N254">
        <v>5508</v>
      </c>
      <c r="O254" t="s">
        <v>48</v>
      </c>
      <c r="P254">
        <v>5245.7142857142835</v>
      </c>
      <c r="Q254" t="s">
        <v>48</v>
      </c>
      <c r="R254">
        <v>5507.9999999999973</v>
      </c>
      <c r="S254" t="s">
        <v>599</v>
      </c>
      <c r="T254" t="s">
        <v>50</v>
      </c>
      <c r="U254" t="s">
        <v>622</v>
      </c>
      <c r="V254" t="s">
        <v>48</v>
      </c>
      <c r="W254" t="s">
        <v>601</v>
      </c>
      <c r="X254" t="s">
        <v>48</v>
      </c>
      <c r="Y254" t="s">
        <v>48</v>
      </c>
      <c r="Z254" t="s">
        <v>625</v>
      </c>
      <c r="AA254" t="s">
        <v>621</v>
      </c>
      <c r="AB254" t="s">
        <v>12</v>
      </c>
      <c r="AC254" t="s">
        <v>56</v>
      </c>
    </row>
    <row r="255" spans="1:29" x14ac:dyDescent="0.3">
      <c r="A255">
        <v>283</v>
      </c>
      <c r="B255" t="s">
        <v>44</v>
      </c>
      <c r="C255" t="s">
        <v>111</v>
      </c>
      <c r="D255" t="s">
        <v>76</v>
      </c>
      <c r="E255" t="s">
        <v>614</v>
      </c>
      <c r="F255">
        <v>2</v>
      </c>
      <c r="G255">
        <v>4590</v>
      </c>
      <c r="H255">
        <v>0.56000000000000005</v>
      </c>
      <c r="I255">
        <v>0.05</v>
      </c>
      <c r="J255">
        <v>1923.43</v>
      </c>
      <c r="K255">
        <v>262.28571428571416</v>
      </c>
      <c r="L255">
        <v>2019.6015</v>
      </c>
      <c r="M255">
        <v>2754</v>
      </c>
      <c r="N255">
        <v>5508</v>
      </c>
      <c r="O255" t="s">
        <v>48</v>
      </c>
      <c r="P255">
        <v>5245.7142857142835</v>
      </c>
      <c r="Q255" t="s">
        <v>48</v>
      </c>
      <c r="R255">
        <v>5507.9999999999973</v>
      </c>
      <c r="S255" t="s">
        <v>599</v>
      </c>
      <c r="T255" t="s">
        <v>50</v>
      </c>
      <c r="U255" t="s">
        <v>622</v>
      </c>
      <c r="V255" t="s">
        <v>48</v>
      </c>
      <c r="W255" t="s">
        <v>601</v>
      </c>
      <c r="X255" t="s">
        <v>48</v>
      </c>
      <c r="Y255" t="s">
        <v>48</v>
      </c>
      <c r="Z255" t="s">
        <v>626</v>
      </c>
      <c r="AA255" t="s">
        <v>621</v>
      </c>
      <c r="AB255" t="s">
        <v>12</v>
      </c>
      <c r="AC255" t="s">
        <v>56</v>
      </c>
    </row>
    <row r="256" spans="1:29" x14ac:dyDescent="0.3">
      <c r="A256">
        <v>284</v>
      </c>
      <c r="B256" t="s">
        <v>44</v>
      </c>
      <c r="C256" t="s">
        <v>111</v>
      </c>
      <c r="D256" t="s">
        <v>59</v>
      </c>
      <c r="E256" t="s">
        <v>614</v>
      </c>
      <c r="F256">
        <v>1</v>
      </c>
      <c r="G256">
        <v>4590</v>
      </c>
      <c r="H256">
        <v>0.56000000000000005</v>
      </c>
      <c r="I256">
        <v>0.05</v>
      </c>
      <c r="J256">
        <v>1923.43</v>
      </c>
      <c r="K256">
        <v>131.14285714285708</v>
      </c>
      <c r="L256">
        <v>2019.6015</v>
      </c>
      <c r="M256">
        <v>2754</v>
      </c>
      <c r="N256">
        <v>2754</v>
      </c>
      <c r="O256" t="s">
        <v>48</v>
      </c>
      <c r="P256">
        <v>2622.8571428571418</v>
      </c>
      <c r="Q256" t="s">
        <v>48</v>
      </c>
      <c r="R256">
        <v>2753.9999999999986</v>
      </c>
      <c r="S256" t="s">
        <v>599</v>
      </c>
      <c r="T256" t="s">
        <v>50</v>
      </c>
      <c r="U256" t="s">
        <v>622</v>
      </c>
      <c r="V256" t="s">
        <v>48</v>
      </c>
      <c r="W256" t="s">
        <v>601</v>
      </c>
      <c r="X256" t="s">
        <v>48</v>
      </c>
      <c r="Y256" t="s">
        <v>48</v>
      </c>
      <c r="Z256" t="s">
        <v>627</v>
      </c>
      <c r="AA256" t="s">
        <v>621</v>
      </c>
      <c r="AB256" t="s">
        <v>12</v>
      </c>
      <c r="AC256" t="s">
        <v>56</v>
      </c>
    </row>
    <row r="257" spans="1:29" x14ac:dyDescent="0.3">
      <c r="A257">
        <v>286</v>
      </c>
      <c r="B257" t="s">
        <v>44</v>
      </c>
      <c r="C257" t="s">
        <v>64</v>
      </c>
      <c r="D257" t="s">
        <v>59</v>
      </c>
      <c r="E257" t="s">
        <v>453</v>
      </c>
      <c r="F257">
        <v>1</v>
      </c>
      <c r="G257">
        <v>4500</v>
      </c>
      <c r="H257">
        <v>0.52</v>
      </c>
      <c r="I257">
        <v>0.05</v>
      </c>
      <c r="J257">
        <v>2057.1419999999998</v>
      </c>
      <c r="K257">
        <v>123.80952380952377</v>
      </c>
      <c r="L257">
        <v>2159.9991</v>
      </c>
      <c r="M257">
        <v>2600</v>
      </c>
      <c r="N257">
        <v>2600</v>
      </c>
      <c r="O257" t="s">
        <v>48</v>
      </c>
      <c r="P257">
        <v>2476.1904761904752</v>
      </c>
      <c r="Q257" t="s">
        <v>48</v>
      </c>
      <c r="R257">
        <v>2599.9999999999991</v>
      </c>
      <c r="S257" t="s">
        <v>628</v>
      </c>
      <c r="T257" t="s">
        <v>50</v>
      </c>
      <c r="U257" t="s">
        <v>211</v>
      </c>
      <c r="V257" t="s">
        <v>211</v>
      </c>
      <c r="W257" t="s">
        <v>48</v>
      </c>
      <c r="X257" t="s">
        <v>48</v>
      </c>
      <c r="Y257" t="s">
        <v>48</v>
      </c>
      <c r="Z257" t="s">
        <v>629</v>
      </c>
      <c r="AA257" t="s">
        <v>621</v>
      </c>
      <c r="AB257" t="s">
        <v>12</v>
      </c>
      <c r="AC257" t="s">
        <v>56</v>
      </c>
    </row>
    <row r="258" spans="1:29" x14ac:dyDescent="0.3">
      <c r="A258">
        <v>287</v>
      </c>
      <c r="B258" t="s">
        <v>68</v>
      </c>
      <c r="C258" t="s">
        <v>114</v>
      </c>
      <c r="D258" t="s">
        <v>65</v>
      </c>
      <c r="E258" t="s">
        <v>453</v>
      </c>
      <c r="F258">
        <v>1</v>
      </c>
      <c r="G258">
        <v>5000</v>
      </c>
      <c r="H258">
        <v>0.52</v>
      </c>
      <c r="I258">
        <v>0.05</v>
      </c>
      <c r="J258">
        <v>2285.71</v>
      </c>
      <c r="K258">
        <v>166.66666666666663</v>
      </c>
      <c r="L258">
        <v>2399.9955</v>
      </c>
      <c r="M258">
        <v>3500</v>
      </c>
      <c r="N258">
        <v>3500</v>
      </c>
      <c r="O258" t="s">
        <v>48</v>
      </c>
      <c r="P258">
        <v>3333.3333333333321</v>
      </c>
      <c r="Q258" t="s">
        <v>48</v>
      </c>
      <c r="R258">
        <v>3499.9999999999986</v>
      </c>
      <c r="S258" t="s">
        <v>336</v>
      </c>
      <c r="T258" t="s">
        <v>50</v>
      </c>
      <c r="U258" t="s">
        <v>320</v>
      </c>
      <c r="V258" t="s">
        <v>320</v>
      </c>
      <c r="W258" t="s">
        <v>48</v>
      </c>
      <c r="X258" t="s">
        <v>48</v>
      </c>
      <c r="Y258" t="s">
        <v>48</v>
      </c>
      <c r="Z258" t="s">
        <v>630</v>
      </c>
      <c r="AA258" t="s">
        <v>621</v>
      </c>
      <c r="AB258" t="s">
        <v>12</v>
      </c>
      <c r="AC258" t="s">
        <v>56</v>
      </c>
    </row>
    <row r="259" spans="1:29" x14ac:dyDescent="0.3">
      <c r="A259">
        <v>288</v>
      </c>
      <c r="B259" t="s">
        <v>44</v>
      </c>
      <c r="C259" t="s">
        <v>57</v>
      </c>
      <c r="D259" t="s">
        <v>65</v>
      </c>
      <c r="E259" t="s">
        <v>453</v>
      </c>
      <c r="F259">
        <v>1</v>
      </c>
      <c r="G259">
        <v>1967</v>
      </c>
      <c r="H259">
        <v>0.52</v>
      </c>
      <c r="I259">
        <v>0.05</v>
      </c>
      <c r="J259">
        <v>899.2</v>
      </c>
      <c r="K259">
        <v>65.571428571428541</v>
      </c>
      <c r="L259">
        <v>944.16000000000008</v>
      </c>
      <c r="M259">
        <v>1377</v>
      </c>
      <c r="N259">
        <v>1377</v>
      </c>
      <c r="O259" t="s">
        <v>48</v>
      </c>
      <c r="P259">
        <v>1311.4285714285709</v>
      </c>
      <c r="Q259" t="s">
        <v>48</v>
      </c>
      <c r="R259">
        <v>1376.9999999999993</v>
      </c>
      <c r="S259" t="s">
        <v>77</v>
      </c>
      <c r="T259" t="s">
        <v>50</v>
      </c>
      <c r="U259" t="s">
        <v>77</v>
      </c>
      <c r="V259" t="s">
        <v>77</v>
      </c>
      <c r="W259" t="s">
        <v>48</v>
      </c>
      <c r="X259" t="s">
        <v>48</v>
      </c>
      <c r="Y259" t="s">
        <v>48</v>
      </c>
      <c r="Z259" t="s">
        <v>631</v>
      </c>
      <c r="AA259" t="s">
        <v>621</v>
      </c>
      <c r="AB259" t="s">
        <v>12</v>
      </c>
      <c r="AC259" t="s">
        <v>56</v>
      </c>
    </row>
    <row r="260" spans="1:29" x14ac:dyDescent="0.3">
      <c r="A260">
        <v>289</v>
      </c>
      <c r="B260" t="s">
        <v>44</v>
      </c>
      <c r="C260" t="s">
        <v>57</v>
      </c>
      <c r="D260" t="s">
        <v>59</v>
      </c>
      <c r="E260" t="s">
        <v>453</v>
      </c>
      <c r="F260">
        <v>1</v>
      </c>
      <c r="G260">
        <v>1967</v>
      </c>
      <c r="H260">
        <v>0.52</v>
      </c>
      <c r="I260">
        <v>0.05</v>
      </c>
      <c r="J260">
        <v>899.2</v>
      </c>
      <c r="K260">
        <v>64.285714285714263</v>
      </c>
      <c r="L260">
        <v>944.16000000000008</v>
      </c>
      <c r="M260">
        <v>1350</v>
      </c>
      <c r="N260">
        <v>1350</v>
      </c>
      <c r="O260" t="s">
        <v>48</v>
      </c>
      <c r="P260">
        <v>1285.7142857142851</v>
      </c>
      <c r="Q260" t="s">
        <v>48</v>
      </c>
      <c r="R260">
        <v>1349.9999999999993</v>
      </c>
      <c r="S260" t="s">
        <v>632</v>
      </c>
      <c r="T260" t="s">
        <v>88</v>
      </c>
      <c r="U260" t="s">
        <v>633</v>
      </c>
      <c r="V260" t="s">
        <v>633</v>
      </c>
      <c r="W260" t="s">
        <v>246</v>
      </c>
      <c r="X260" t="s">
        <v>634</v>
      </c>
      <c r="Y260" t="s">
        <v>48</v>
      </c>
      <c r="Z260" t="s">
        <v>635</v>
      </c>
      <c r="AA260" t="s">
        <v>621</v>
      </c>
      <c r="AB260" t="s">
        <v>12</v>
      </c>
      <c r="AC260" t="s">
        <v>56</v>
      </c>
    </row>
    <row r="261" spans="1:29" x14ac:dyDescent="0.3">
      <c r="A261">
        <v>290</v>
      </c>
      <c r="B261" t="s">
        <v>538</v>
      </c>
      <c r="C261" t="s">
        <v>539</v>
      </c>
      <c r="D261" t="s">
        <v>76</v>
      </c>
      <c r="E261" t="s">
        <v>453</v>
      </c>
      <c r="F261">
        <v>1</v>
      </c>
      <c r="G261">
        <v>3099</v>
      </c>
      <c r="H261">
        <v>0.52</v>
      </c>
      <c r="I261">
        <v>0.05</v>
      </c>
      <c r="J261">
        <v>1416.69</v>
      </c>
      <c r="K261">
        <v>88.542857142857116</v>
      </c>
      <c r="L261">
        <v>1487.5245</v>
      </c>
      <c r="M261">
        <v>1859.4</v>
      </c>
      <c r="N261">
        <v>1859.4</v>
      </c>
      <c r="O261" t="s">
        <v>48</v>
      </c>
      <c r="P261">
        <v>1770.8571428571422</v>
      </c>
      <c r="Q261" t="s">
        <v>48</v>
      </c>
      <c r="R261">
        <v>1859.3999999999994</v>
      </c>
      <c r="S261" t="s">
        <v>633</v>
      </c>
      <c r="T261" t="s">
        <v>50</v>
      </c>
      <c r="U261" t="s">
        <v>633</v>
      </c>
      <c r="V261" t="s">
        <v>633</v>
      </c>
      <c r="W261" t="s">
        <v>48</v>
      </c>
      <c r="X261" t="s">
        <v>48</v>
      </c>
      <c r="Y261" t="s">
        <v>48</v>
      </c>
      <c r="Z261" t="s">
        <v>636</v>
      </c>
      <c r="AA261" t="s">
        <v>621</v>
      </c>
      <c r="AB261" t="s">
        <v>12</v>
      </c>
      <c r="AC261" t="s">
        <v>56</v>
      </c>
    </row>
    <row r="262" spans="1:29" x14ac:dyDescent="0.3">
      <c r="A262">
        <v>291</v>
      </c>
      <c r="B262" t="s">
        <v>68</v>
      </c>
      <c r="C262" t="s">
        <v>69</v>
      </c>
      <c r="D262" t="s">
        <v>59</v>
      </c>
      <c r="E262" t="s">
        <v>570</v>
      </c>
      <c r="F262">
        <v>1</v>
      </c>
      <c r="G262">
        <v>9000</v>
      </c>
      <c r="H262">
        <v>0.52</v>
      </c>
      <c r="I262">
        <v>0.18</v>
      </c>
      <c r="J262">
        <v>4320</v>
      </c>
      <c r="K262">
        <v>242.74285714285708</v>
      </c>
      <c r="L262">
        <v>5097.6000000000004</v>
      </c>
      <c r="M262">
        <v>5097.6000000000004</v>
      </c>
      <c r="N262">
        <v>5097.6000000000004</v>
      </c>
      <c r="O262" t="s">
        <v>48</v>
      </c>
      <c r="P262">
        <v>4854.8571428571413</v>
      </c>
      <c r="Q262" t="s">
        <v>48</v>
      </c>
      <c r="R262">
        <v>5097.5999999999985</v>
      </c>
      <c r="S262" t="s">
        <v>637</v>
      </c>
      <c r="T262" t="s">
        <v>50</v>
      </c>
      <c r="U262" t="s">
        <v>637</v>
      </c>
      <c r="V262" t="s">
        <v>48</v>
      </c>
      <c r="W262" t="s">
        <v>48</v>
      </c>
      <c r="X262" t="s">
        <v>48</v>
      </c>
      <c r="Y262" t="s">
        <v>48</v>
      </c>
      <c r="Z262" t="s">
        <v>638</v>
      </c>
      <c r="AA262" t="s">
        <v>621</v>
      </c>
      <c r="AB262" t="s">
        <v>12</v>
      </c>
      <c r="AC262" t="s">
        <v>56</v>
      </c>
    </row>
    <row r="263" spans="1:29" x14ac:dyDescent="0.3">
      <c r="A263">
        <v>292</v>
      </c>
      <c r="B263" t="s">
        <v>44</v>
      </c>
      <c r="C263" t="s">
        <v>274</v>
      </c>
      <c r="D263" t="s">
        <v>86</v>
      </c>
      <c r="E263" t="s">
        <v>453</v>
      </c>
      <c r="F263">
        <v>1</v>
      </c>
      <c r="G263">
        <v>2999</v>
      </c>
      <c r="H263">
        <v>0.52</v>
      </c>
      <c r="I263">
        <v>0.05</v>
      </c>
      <c r="J263">
        <v>1370.97</v>
      </c>
      <c r="K263">
        <v>85.71428571428568</v>
      </c>
      <c r="L263">
        <v>1439.5185000000001</v>
      </c>
      <c r="M263">
        <v>1800</v>
      </c>
      <c r="N263">
        <v>1800</v>
      </c>
      <c r="O263" t="s">
        <v>48</v>
      </c>
      <c r="P263">
        <v>1714.2857142857135</v>
      </c>
      <c r="Q263" t="s">
        <v>48</v>
      </c>
      <c r="R263">
        <v>1799.9999999999993</v>
      </c>
      <c r="S263" t="s">
        <v>336</v>
      </c>
      <c r="T263" t="s">
        <v>50</v>
      </c>
      <c r="U263" t="s">
        <v>320</v>
      </c>
      <c r="V263" t="s">
        <v>320</v>
      </c>
      <c r="W263" t="s">
        <v>48</v>
      </c>
      <c r="X263" t="s">
        <v>48</v>
      </c>
      <c r="Y263" t="s">
        <v>48</v>
      </c>
      <c r="Z263" t="s">
        <v>639</v>
      </c>
      <c r="AA263" t="s">
        <v>640</v>
      </c>
      <c r="AB263" t="s">
        <v>12</v>
      </c>
      <c r="AC263" t="s">
        <v>56</v>
      </c>
    </row>
    <row r="264" spans="1:29" x14ac:dyDescent="0.3">
      <c r="A264">
        <v>293</v>
      </c>
      <c r="B264" t="s">
        <v>544</v>
      </c>
      <c r="C264" t="s">
        <v>641</v>
      </c>
      <c r="D264" t="s">
        <v>99</v>
      </c>
      <c r="E264" t="s">
        <v>642</v>
      </c>
      <c r="F264">
        <v>1</v>
      </c>
      <c r="G264">
        <v>6500</v>
      </c>
      <c r="H264">
        <v>0.52</v>
      </c>
      <c r="I264">
        <v>0.05</v>
      </c>
      <c r="J264">
        <v>2971.43</v>
      </c>
      <c r="K264">
        <v>185.71428571428567</v>
      </c>
      <c r="L264">
        <v>3120.0014999999999</v>
      </c>
      <c r="M264">
        <v>3900</v>
      </c>
      <c r="N264">
        <v>3900</v>
      </c>
      <c r="O264" t="s">
        <v>48</v>
      </c>
      <c r="P264">
        <v>3714.2857142857129</v>
      </c>
      <c r="Q264" t="s">
        <v>48</v>
      </c>
      <c r="R264">
        <v>3899.9999999999986</v>
      </c>
      <c r="S264" t="s">
        <v>320</v>
      </c>
      <c r="T264" t="s">
        <v>50</v>
      </c>
      <c r="U264" t="s">
        <v>320</v>
      </c>
      <c r="V264" t="s">
        <v>320</v>
      </c>
      <c r="W264" t="s">
        <v>48</v>
      </c>
      <c r="X264" t="s">
        <v>48</v>
      </c>
      <c r="Y264" t="s">
        <v>48</v>
      </c>
      <c r="Z264" t="s">
        <v>643</v>
      </c>
      <c r="AA264" t="s">
        <v>640</v>
      </c>
      <c r="AB264" t="s">
        <v>12</v>
      </c>
      <c r="AC264" t="s">
        <v>56</v>
      </c>
    </row>
    <row r="265" spans="1:29" x14ac:dyDescent="0.3">
      <c r="A265">
        <v>294</v>
      </c>
      <c r="B265" t="s">
        <v>68</v>
      </c>
      <c r="C265" t="s">
        <v>202</v>
      </c>
      <c r="D265" t="s">
        <v>59</v>
      </c>
      <c r="E265" t="s">
        <v>453</v>
      </c>
      <c r="F265">
        <v>1</v>
      </c>
      <c r="G265">
        <v>8010</v>
      </c>
      <c r="H265">
        <v>0.52</v>
      </c>
      <c r="I265">
        <v>0.18</v>
      </c>
      <c r="J265">
        <v>3529.83</v>
      </c>
      <c r="K265">
        <v>247.61904761904754</v>
      </c>
      <c r="L265">
        <v>4165.1993999999995</v>
      </c>
      <c r="M265">
        <v>5200</v>
      </c>
      <c r="N265">
        <v>5200</v>
      </c>
      <c r="O265" t="s">
        <v>48</v>
      </c>
      <c r="P265">
        <v>4952.3809523809505</v>
      </c>
      <c r="Q265" t="s">
        <v>48</v>
      </c>
      <c r="R265">
        <v>5199.9999999999982</v>
      </c>
      <c r="S265" t="s">
        <v>510</v>
      </c>
      <c r="T265" t="s">
        <v>88</v>
      </c>
      <c r="U265" t="s">
        <v>522</v>
      </c>
      <c r="V265" t="s">
        <v>510</v>
      </c>
      <c r="W265" t="s">
        <v>246</v>
      </c>
      <c r="X265" t="s">
        <v>644</v>
      </c>
      <c r="Y265" t="s">
        <v>48</v>
      </c>
      <c r="Z265" t="s">
        <v>645</v>
      </c>
      <c r="AA265" t="s">
        <v>640</v>
      </c>
      <c r="AB265" t="s">
        <v>12</v>
      </c>
      <c r="AC265" t="s">
        <v>56</v>
      </c>
    </row>
    <row r="266" spans="1:29" x14ac:dyDescent="0.3">
      <c r="A266">
        <v>295</v>
      </c>
      <c r="B266" t="s">
        <v>44</v>
      </c>
      <c r="C266" t="s">
        <v>373</v>
      </c>
      <c r="D266" t="s">
        <v>76</v>
      </c>
      <c r="E266" t="s">
        <v>453</v>
      </c>
      <c r="F266">
        <v>1</v>
      </c>
      <c r="G266">
        <v>2999</v>
      </c>
      <c r="H266">
        <v>0.52</v>
      </c>
      <c r="I266">
        <v>0.05</v>
      </c>
      <c r="J266">
        <v>1370.97</v>
      </c>
      <c r="K266">
        <v>99.96666666666664</v>
      </c>
      <c r="L266">
        <v>1439.5185000000001</v>
      </c>
      <c r="M266">
        <v>2099.3000000000002</v>
      </c>
      <c r="N266">
        <v>2099.3000000000002</v>
      </c>
      <c r="O266" t="s">
        <v>48</v>
      </c>
      <c r="P266">
        <v>1999.3333333333328</v>
      </c>
      <c r="Q266" t="s">
        <v>48</v>
      </c>
      <c r="R266">
        <v>2099.2999999999993</v>
      </c>
      <c r="S266" t="s">
        <v>291</v>
      </c>
      <c r="T266" t="s">
        <v>88</v>
      </c>
      <c r="U266" t="s">
        <v>291</v>
      </c>
      <c r="V266" t="s">
        <v>291</v>
      </c>
      <c r="W266" t="s">
        <v>572</v>
      </c>
      <c r="X266" t="s">
        <v>48</v>
      </c>
      <c r="Y266" t="s">
        <v>48</v>
      </c>
      <c r="Z266" t="s">
        <v>646</v>
      </c>
      <c r="AA266" t="s">
        <v>640</v>
      </c>
      <c r="AB266" t="s">
        <v>12</v>
      </c>
      <c r="AC266" t="s">
        <v>56</v>
      </c>
    </row>
    <row r="267" spans="1:29" x14ac:dyDescent="0.3">
      <c r="A267">
        <v>296</v>
      </c>
      <c r="B267" t="s">
        <v>44</v>
      </c>
      <c r="C267" t="s">
        <v>57</v>
      </c>
      <c r="D267" t="s">
        <v>59</v>
      </c>
      <c r="E267" t="s">
        <v>570</v>
      </c>
      <c r="F267">
        <v>1</v>
      </c>
      <c r="G267">
        <v>1967</v>
      </c>
      <c r="H267">
        <v>0.52</v>
      </c>
      <c r="I267">
        <v>0.05</v>
      </c>
      <c r="J267">
        <v>899.2</v>
      </c>
      <c r="K267">
        <v>65.571428571428541</v>
      </c>
      <c r="L267">
        <v>944.16000000000008</v>
      </c>
      <c r="M267">
        <v>1377</v>
      </c>
      <c r="N267">
        <v>1377</v>
      </c>
      <c r="O267" t="s">
        <v>48</v>
      </c>
      <c r="P267">
        <v>1311.4285714285709</v>
      </c>
      <c r="Q267" t="s">
        <v>48</v>
      </c>
      <c r="R267">
        <v>1376.9999999999993</v>
      </c>
      <c r="S267" t="s">
        <v>291</v>
      </c>
      <c r="T267" t="s">
        <v>88</v>
      </c>
      <c r="U267" t="s">
        <v>291</v>
      </c>
      <c r="V267" t="s">
        <v>291</v>
      </c>
      <c r="W267" t="s">
        <v>572</v>
      </c>
      <c r="X267" t="s">
        <v>48</v>
      </c>
      <c r="Y267" t="s">
        <v>48</v>
      </c>
      <c r="Z267" t="s">
        <v>647</v>
      </c>
      <c r="AA267" t="s">
        <v>640</v>
      </c>
      <c r="AB267" t="s">
        <v>12</v>
      </c>
      <c r="AC267" t="s">
        <v>56</v>
      </c>
    </row>
    <row r="268" spans="1:29" x14ac:dyDescent="0.3">
      <c r="A268">
        <v>297</v>
      </c>
      <c r="B268" t="s">
        <v>44</v>
      </c>
      <c r="C268" t="s">
        <v>57</v>
      </c>
      <c r="D268" t="s">
        <v>76</v>
      </c>
      <c r="E268" t="s">
        <v>453</v>
      </c>
      <c r="F268">
        <v>1</v>
      </c>
      <c r="G268">
        <v>1967</v>
      </c>
      <c r="H268">
        <v>0.52</v>
      </c>
      <c r="I268">
        <v>0.05</v>
      </c>
      <c r="J268">
        <v>899.2</v>
      </c>
      <c r="K268">
        <v>65.571428571428541</v>
      </c>
      <c r="L268">
        <v>944.16000000000008</v>
      </c>
      <c r="M268">
        <v>1377</v>
      </c>
      <c r="N268">
        <v>1377</v>
      </c>
      <c r="O268" t="s">
        <v>48</v>
      </c>
      <c r="P268">
        <v>1311.4285714285709</v>
      </c>
      <c r="Q268" t="s">
        <v>48</v>
      </c>
      <c r="R268">
        <v>1376.9999999999993</v>
      </c>
      <c r="S268" t="s">
        <v>77</v>
      </c>
      <c r="T268" t="s">
        <v>50</v>
      </c>
      <c r="U268" t="s">
        <v>77</v>
      </c>
      <c r="V268" t="s">
        <v>77</v>
      </c>
      <c r="W268" t="s">
        <v>48</v>
      </c>
      <c r="X268" t="s">
        <v>48</v>
      </c>
      <c r="Y268" t="s">
        <v>48</v>
      </c>
      <c r="Z268" t="s">
        <v>648</v>
      </c>
      <c r="AA268" t="s">
        <v>640</v>
      </c>
      <c r="AB268" t="s">
        <v>12</v>
      </c>
      <c r="AC268" t="s">
        <v>56</v>
      </c>
    </row>
    <row r="269" spans="1:29" x14ac:dyDescent="0.3">
      <c r="A269">
        <v>298</v>
      </c>
      <c r="B269" t="s">
        <v>538</v>
      </c>
      <c r="C269" t="s">
        <v>539</v>
      </c>
      <c r="D269" t="s">
        <v>65</v>
      </c>
      <c r="E269" t="s">
        <v>570</v>
      </c>
      <c r="F269">
        <v>1</v>
      </c>
      <c r="G269">
        <v>3099</v>
      </c>
      <c r="H269">
        <v>0.52</v>
      </c>
      <c r="I269">
        <v>0.05</v>
      </c>
      <c r="J269">
        <v>1416.69</v>
      </c>
      <c r="K269">
        <v>103.28571428571425</v>
      </c>
      <c r="L269">
        <v>1487.5245</v>
      </c>
      <c r="M269">
        <v>2169</v>
      </c>
      <c r="N269">
        <v>2169</v>
      </c>
      <c r="O269" t="s">
        <v>48</v>
      </c>
      <c r="P269">
        <v>2065.7142857142849</v>
      </c>
      <c r="Q269" t="s">
        <v>48</v>
      </c>
      <c r="R269">
        <v>2168.9999999999991</v>
      </c>
      <c r="S269" t="s">
        <v>649</v>
      </c>
      <c r="T269" t="s">
        <v>88</v>
      </c>
      <c r="U269" t="s">
        <v>649</v>
      </c>
      <c r="V269" t="s">
        <v>649</v>
      </c>
      <c r="W269" t="s">
        <v>572</v>
      </c>
      <c r="X269" t="s">
        <v>48</v>
      </c>
      <c r="Y269" t="s">
        <v>48</v>
      </c>
      <c r="Z269" t="s">
        <v>650</v>
      </c>
      <c r="AA269" t="s">
        <v>640</v>
      </c>
      <c r="AB269" t="s">
        <v>12</v>
      </c>
      <c r="AC269" t="s">
        <v>56</v>
      </c>
    </row>
    <row r="270" spans="1:29" x14ac:dyDescent="0.3">
      <c r="A270">
        <v>299</v>
      </c>
      <c r="B270" t="s">
        <v>44</v>
      </c>
      <c r="C270" t="s">
        <v>82</v>
      </c>
      <c r="D270" t="s">
        <v>65</v>
      </c>
      <c r="E270" t="s">
        <v>47</v>
      </c>
      <c r="F270">
        <v>1</v>
      </c>
      <c r="G270">
        <v>2207</v>
      </c>
      <c r="H270">
        <v>0.5</v>
      </c>
      <c r="I270">
        <v>0.05</v>
      </c>
      <c r="J270">
        <v>1050.95</v>
      </c>
      <c r="K270">
        <v>63.04761904761903</v>
      </c>
      <c r="L270">
        <v>1103.4974999999999</v>
      </c>
      <c r="M270">
        <v>1324</v>
      </c>
      <c r="N270">
        <v>1324</v>
      </c>
      <c r="O270" t="s">
        <v>48</v>
      </c>
      <c r="P270">
        <v>1260.9523809523805</v>
      </c>
      <c r="Q270" t="s">
        <v>48</v>
      </c>
      <c r="R270">
        <v>1323.9999999999995</v>
      </c>
      <c r="S270" t="s">
        <v>651</v>
      </c>
      <c r="T270" t="s">
        <v>50</v>
      </c>
      <c r="U270" t="s">
        <v>652</v>
      </c>
      <c r="V270" t="s">
        <v>652</v>
      </c>
      <c r="W270" t="s">
        <v>48</v>
      </c>
      <c r="X270" t="s">
        <v>48</v>
      </c>
      <c r="Y270" t="s">
        <v>48</v>
      </c>
      <c r="Z270" t="s">
        <v>653</v>
      </c>
      <c r="AA270" t="s">
        <v>640</v>
      </c>
      <c r="AB270" t="s">
        <v>12</v>
      </c>
      <c r="AC270" t="s">
        <v>56</v>
      </c>
    </row>
    <row r="271" spans="1:29" x14ac:dyDescent="0.3">
      <c r="A271">
        <v>300</v>
      </c>
      <c r="B271" t="s">
        <v>44</v>
      </c>
      <c r="C271" t="s">
        <v>45</v>
      </c>
      <c r="D271" t="s">
        <v>65</v>
      </c>
      <c r="E271" t="s">
        <v>453</v>
      </c>
      <c r="F271">
        <v>1</v>
      </c>
      <c r="G271">
        <v>2207</v>
      </c>
      <c r="H271">
        <v>0.52</v>
      </c>
      <c r="I271">
        <v>0.05</v>
      </c>
      <c r="J271">
        <v>1008.91</v>
      </c>
      <c r="K271">
        <v>63.04761904761903</v>
      </c>
      <c r="L271">
        <v>1059.3554999999999</v>
      </c>
      <c r="M271">
        <v>1324</v>
      </c>
      <c r="N271">
        <v>1324</v>
      </c>
      <c r="O271" t="s">
        <v>48</v>
      </c>
      <c r="P271">
        <v>1260.9523809523805</v>
      </c>
      <c r="Q271" t="s">
        <v>48</v>
      </c>
      <c r="R271">
        <v>1323.9999999999995</v>
      </c>
      <c r="S271" t="s">
        <v>654</v>
      </c>
      <c r="T271" t="s">
        <v>50</v>
      </c>
      <c r="U271" t="s">
        <v>652</v>
      </c>
      <c r="V271" t="s">
        <v>652</v>
      </c>
      <c r="W271" t="s">
        <v>48</v>
      </c>
      <c r="X271" t="s">
        <v>48</v>
      </c>
      <c r="Y271" t="s">
        <v>48</v>
      </c>
      <c r="Z271" t="s">
        <v>655</v>
      </c>
      <c r="AA271" t="s">
        <v>640</v>
      </c>
      <c r="AB271" t="s">
        <v>12</v>
      </c>
      <c r="AC271" t="s">
        <v>56</v>
      </c>
    </row>
    <row r="272" spans="1:29" x14ac:dyDescent="0.3">
      <c r="A272">
        <v>301</v>
      </c>
      <c r="B272" t="s">
        <v>44</v>
      </c>
      <c r="C272" t="s">
        <v>57</v>
      </c>
      <c r="D272" t="s">
        <v>99</v>
      </c>
      <c r="E272" t="s">
        <v>47</v>
      </c>
      <c r="F272">
        <v>1</v>
      </c>
      <c r="G272">
        <v>1967</v>
      </c>
      <c r="H272">
        <v>0.5</v>
      </c>
      <c r="I272">
        <v>0.05</v>
      </c>
      <c r="J272">
        <v>936.67</v>
      </c>
      <c r="K272">
        <v>56.190476190476176</v>
      </c>
      <c r="L272">
        <v>983.50349999999992</v>
      </c>
      <c r="M272">
        <v>1180</v>
      </c>
      <c r="N272">
        <v>1180</v>
      </c>
      <c r="O272" t="s">
        <v>48</v>
      </c>
      <c r="P272">
        <v>1123.8095238095234</v>
      </c>
      <c r="Q272" t="s">
        <v>48</v>
      </c>
      <c r="R272">
        <v>1179.9999999999995</v>
      </c>
      <c r="S272" t="s">
        <v>656</v>
      </c>
      <c r="T272" t="s">
        <v>50</v>
      </c>
      <c r="U272" t="s">
        <v>652</v>
      </c>
      <c r="V272" t="s">
        <v>652</v>
      </c>
      <c r="W272" t="s">
        <v>48</v>
      </c>
      <c r="X272" t="s">
        <v>48</v>
      </c>
      <c r="Y272" t="s">
        <v>48</v>
      </c>
      <c r="Z272" t="s">
        <v>657</v>
      </c>
      <c r="AA272" t="s">
        <v>640</v>
      </c>
      <c r="AB272" t="s">
        <v>12</v>
      </c>
      <c r="AC272" t="s">
        <v>56</v>
      </c>
    </row>
    <row r="273" spans="1:29" x14ac:dyDescent="0.3">
      <c r="A273">
        <v>302</v>
      </c>
      <c r="B273" t="s">
        <v>44</v>
      </c>
      <c r="C273" t="s">
        <v>373</v>
      </c>
      <c r="D273" t="s">
        <v>99</v>
      </c>
      <c r="E273" t="s">
        <v>453</v>
      </c>
      <c r="F273">
        <v>1</v>
      </c>
      <c r="G273">
        <v>2999</v>
      </c>
      <c r="H273">
        <v>0.52</v>
      </c>
      <c r="I273">
        <v>0.05</v>
      </c>
      <c r="J273">
        <v>1370.97</v>
      </c>
      <c r="K273">
        <v>85.666666666666629</v>
      </c>
      <c r="L273">
        <v>1439.5185000000001</v>
      </c>
      <c r="M273">
        <v>1799</v>
      </c>
      <c r="N273">
        <v>1799</v>
      </c>
      <c r="O273" t="s">
        <v>48</v>
      </c>
      <c r="P273">
        <v>1713.3333333333326</v>
      </c>
      <c r="Q273" t="s">
        <v>48</v>
      </c>
      <c r="R273">
        <v>1798.9999999999991</v>
      </c>
      <c r="S273" t="s">
        <v>658</v>
      </c>
      <c r="T273" t="s">
        <v>50</v>
      </c>
      <c r="U273" t="s">
        <v>652</v>
      </c>
      <c r="V273" t="s">
        <v>652</v>
      </c>
      <c r="W273" t="s">
        <v>48</v>
      </c>
      <c r="X273" t="s">
        <v>48</v>
      </c>
      <c r="Y273" t="s">
        <v>48</v>
      </c>
      <c r="Z273" t="s">
        <v>659</v>
      </c>
      <c r="AA273" t="s">
        <v>640</v>
      </c>
      <c r="AB273" t="s">
        <v>12</v>
      </c>
      <c r="AC273" t="s">
        <v>56</v>
      </c>
    </row>
    <row r="274" spans="1:29" x14ac:dyDescent="0.3">
      <c r="A274">
        <v>303</v>
      </c>
      <c r="B274" t="s">
        <v>44</v>
      </c>
      <c r="C274" t="s">
        <v>75</v>
      </c>
      <c r="D274" t="s">
        <v>117</v>
      </c>
      <c r="E274" t="s">
        <v>453</v>
      </c>
      <c r="F274">
        <v>1</v>
      </c>
      <c r="G274">
        <v>1967</v>
      </c>
      <c r="H274">
        <v>0.52</v>
      </c>
      <c r="I274">
        <v>0.05</v>
      </c>
      <c r="J274">
        <v>899.2</v>
      </c>
      <c r="K274">
        <v>65.571428571428541</v>
      </c>
      <c r="L274">
        <v>944.16000000000008</v>
      </c>
      <c r="M274">
        <v>1377</v>
      </c>
      <c r="N274">
        <v>1377</v>
      </c>
      <c r="O274" t="s">
        <v>48</v>
      </c>
      <c r="P274">
        <v>1311.4285714285709</v>
      </c>
      <c r="Q274" t="s">
        <v>48</v>
      </c>
      <c r="R274">
        <v>1376.9999999999993</v>
      </c>
      <c r="S274" t="s">
        <v>77</v>
      </c>
      <c r="T274" t="s">
        <v>50</v>
      </c>
      <c r="U274" t="s">
        <v>77</v>
      </c>
      <c r="V274" t="s">
        <v>77</v>
      </c>
      <c r="W274" t="s">
        <v>48</v>
      </c>
      <c r="X274" t="s">
        <v>48</v>
      </c>
      <c r="Y274" t="s">
        <v>48</v>
      </c>
      <c r="Z274" t="s">
        <v>660</v>
      </c>
      <c r="AA274" t="s">
        <v>640</v>
      </c>
      <c r="AB274" t="s">
        <v>12</v>
      </c>
      <c r="AC274" t="s">
        <v>56</v>
      </c>
    </row>
    <row r="275" spans="1:29" x14ac:dyDescent="0.3">
      <c r="A275">
        <v>304</v>
      </c>
      <c r="B275" t="s">
        <v>44</v>
      </c>
      <c r="C275" t="s">
        <v>57</v>
      </c>
      <c r="D275" t="s">
        <v>59</v>
      </c>
      <c r="E275" t="s">
        <v>453</v>
      </c>
      <c r="F275">
        <v>1</v>
      </c>
      <c r="G275">
        <v>1967</v>
      </c>
      <c r="H275">
        <v>0.52</v>
      </c>
      <c r="I275">
        <v>0.05</v>
      </c>
      <c r="J275">
        <v>899.2</v>
      </c>
      <c r="K275">
        <v>65.571428571428541</v>
      </c>
      <c r="L275">
        <v>944.16000000000008</v>
      </c>
      <c r="M275">
        <v>1377</v>
      </c>
      <c r="N275">
        <v>1377</v>
      </c>
      <c r="O275" t="s">
        <v>48</v>
      </c>
      <c r="P275">
        <v>1311.4285714285709</v>
      </c>
      <c r="Q275" t="s">
        <v>48</v>
      </c>
      <c r="R275">
        <v>1376.9999999999993</v>
      </c>
      <c r="S275" t="s">
        <v>77</v>
      </c>
      <c r="T275" t="s">
        <v>50</v>
      </c>
      <c r="U275" t="s">
        <v>77</v>
      </c>
      <c r="V275" t="s">
        <v>77</v>
      </c>
      <c r="W275" t="s">
        <v>48</v>
      </c>
      <c r="X275" t="s">
        <v>48</v>
      </c>
      <c r="Y275" t="s">
        <v>48</v>
      </c>
      <c r="Z275" t="s">
        <v>661</v>
      </c>
      <c r="AA275" t="s">
        <v>640</v>
      </c>
      <c r="AB275" t="s">
        <v>12</v>
      </c>
      <c r="AC275" t="s">
        <v>56</v>
      </c>
    </row>
    <row r="276" spans="1:29" x14ac:dyDescent="0.3">
      <c r="A276">
        <v>305</v>
      </c>
      <c r="B276" t="s">
        <v>44</v>
      </c>
      <c r="C276" t="s">
        <v>274</v>
      </c>
      <c r="D276" t="s">
        <v>65</v>
      </c>
      <c r="E276" t="s">
        <v>83</v>
      </c>
      <c r="F276">
        <v>1</v>
      </c>
      <c r="G276">
        <v>2999</v>
      </c>
      <c r="H276">
        <v>0.52</v>
      </c>
      <c r="I276">
        <v>0.05</v>
      </c>
      <c r="J276">
        <v>1370.97</v>
      </c>
      <c r="K276">
        <v>85.71428571428568</v>
      </c>
      <c r="L276">
        <v>1439.5185000000001</v>
      </c>
      <c r="M276">
        <v>1800</v>
      </c>
      <c r="N276">
        <v>1800</v>
      </c>
      <c r="O276" t="s">
        <v>48</v>
      </c>
      <c r="P276">
        <v>1714.2857142857135</v>
      </c>
      <c r="Q276" t="s">
        <v>48</v>
      </c>
      <c r="R276">
        <v>1799.9999999999993</v>
      </c>
      <c r="S276" t="s">
        <v>127</v>
      </c>
      <c r="T276" t="s">
        <v>88</v>
      </c>
      <c r="U276" t="s">
        <v>127</v>
      </c>
      <c r="V276" t="s">
        <v>127</v>
      </c>
      <c r="W276" t="s">
        <v>246</v>
      </c>
      <c r="X276" t="s">
        <v>644</v>
      </c>
      <c r="Y276" t="s">
        <v>48</v>
      </c>
      <c r="Z276" t="s">
        <v>662</v>
      </c>
      <c r="AA276" t="s">
        <v>640</v>
      </c>
      <c r="AB276" t="s">
        <v>12</v>
      </c>
      <c r="AC276" t="s">
        <v>56</v>
      </c>
    </row>
    <row r="277" spans="1:29" x14ac:dyDescent="0.3">
      <c r="A277">
        <v>306</v>
      </c>
      <c r="B277" t="s">
        <v>44</v>
      </c>
      <c r="C277" t="s">
        <v>75</v>
      </c>
      <c r="D277" t="s">
        <v>65</v>
      </c>
      <c r="E277" t="s">
        <v>453</v>
      </c>
      <c r="F277">
        <v>2</v>
      </c>
      <c r="G277">
        <v>1967</v>
      </c>
      <c r="H277">
        <v>0.52</v>
      </c>
      <c r="I277">
        <v>0.05</v>
      </c>
      <c r="J277">
        <v>899.2</v>
      </c>
      <c r="K277">
        <v>152.38095238095232</v>
      </c>
      <c r="L277">
        <v>944.16000000000008</v>
      </c>
      <c r="M277">
        <v>1600</v>
      </c>
      <c r="N277">
        <v>3200</v>
      </c>
      <c r="O277" t="s">
        <v>48</v>
      </c>
      <c r="P277">
        <v>3047.6190476190463</v>
      </c>
      <c r="Q277" t="s">
        <v>48</v>
      </c>
      <c r="R277">
        <v>3199.9999999999986</v>
      </c>
      <c r="S277" t="s">
        <v>137</v>
      </c>
      <c r="T277" t="s">
        <v>88</v>
      </c>
      <c r="U277" t="s">
        <v>137</v>
      </c>
      <c r="V277" t="s">
        <v>137</v>
      </c>
      <c r="W277" t="s">
        <v>246</v>
      </c>
      <c r="X277" t="s">
        <v>663</v>
      </c>
      <c r="Y277" t="s">
        <v>48</v>
      </c>
      <c r="Z277" t="s">
        <v>664</v>
      </c>
      <c r="AA277" t="s">
        <v>665</v>
      </c>
      <c r="AB277" t="s">
        <v>12</v>
      </c>
      <c r="AC277" t="s">
        <v>56</v>
      </c>
    </row>
    <row r="278" spans="1:29" x14ac:dyDescent="0.3">
      <c r="A278">
        <v>307</v>
      </c>
      <c r="B278" t="s">
        <v>68</v>
      </c>
      <c r="C278" t="s">
        <v>69</v>
      </c>
      <c r="D278" t="s">
        <v>65</v>
      </c>
      <c r="E278" t="s">
        <v>453</v>
      </c>
      <c r="F278">
        <v>1</v>
      </c>
      <c r="G278">
        <v>9000</v>
      </c>
      <c r="H278">
        <v>0.52</v>
      </c>
      <c r="I278">
        <v>0.18</v>
      </c>
      <c r="J278">
        <v>3661.02</v>
      </c>
      <c r="K278">
        <v>641.68474576271183</v>
      </c>
      <c r="L278">
        <v>4320.0036</v>
      </c>
      <c r="M278">
        <v>4206.6000000000004</v>
      </c>
      <c r="N278">
        <v>4206.6000000000004</v>
      </c>
      <c r="O278" t="s">
        <v>48</v>
      </c>
      <c r="P278">
        <v>3564.9152542372881</v>
      </c>
      <c r="Q278" t="s">
        <v>48</v>
      </c>
      <c r="R278">
        <v>4206.6000000000004</v>
      </c>
      <c r="S278" t="s">
        <v>336</v>
      </c>
      <c r="T278" t="s">
        <v>50</v>
      </c>
      <c r="U278" t="s">
        <v>320</v>
      </c>
      <c r="V278" t="s">
        <v>320</v>
      </c>
      <c r="W278" t="s">
        <v>48</v>
      </c>
      <c r="X278" t="s">
        <v>48</v>
      </c>
      <c r="Y278" t="s">
        <v>48</v>
      </c>
      <c r="Z278" t="s">
        <v>666</v>
      </c>
      <c r="AA278" t="s">
        <v>665</v>
      </c>
      <c r="AB278" t="s">
        <v>12</v>
      </c>
      <c r="AC278" t="s">
        <v>56</v>
      </c>
    </row>
    <row r="279" spans="1:29" x14ac:dyDescent="0.3">
      <c r="A279">
        <v>308</v>
      </c>
      <c r="B279" t="s">
        <v>44</v>
      </c>
      <c r="C279" t="s">
        <v>111</v>
      </c>
      <c r="D279" t="s">
        <v>59</v>
      </c>
      <c r="E279" t="s">
        <v>642</v>
      </c>
      <c r="F279">
        <v>1</v>
      </c>
      <c r="G279">
        <v>4590</v>
      </c>
      <c r="H279">
        <v>0.62</v>
      </c>
      <c r="I279">
        <v>0.05</v>
      </c>
      <c r="J279">
        <v>1661.14</v>
      </c>
      <c r="K279">
        <v>133.33333333333329</v>
      </c>
      <c r="L279">
        <v>1744.1970000000001</v>
      </c>
      <c r="M279">
        <v>2800</v>
      </c>
      <c r="N279">
        <v>2800</v>
      </c>
      <c r="O279" t="s">
        <v>48</v>
      </c>
      <c r="P279">
        <v>2666.6666666666656</v>
      </c>
      <c r="Q279" t="s">
        <v>48</v>
      </c>
      <c r="R279">
        <v>2799.9999999999991</v>
      </c>
      <c r="S279" t="s">
        <v>667</v>
      </c>
      <c r="T279" t="s">
        <v>88</v>
      </c>
      <c r="U279" t="s">
        <v>667</v>
      </c>
      <c r="V279" t="s">
        <v>667</v>
      </c>
      <c r="W279" t="s">
        <v>48</v>
      </c>
      <c r="X279" t="s">
        <v>668</v>
      </c>
      <c r="Y279" t="s">
        <v>48</v>
      </c>
      <c r="Z279" t="s">
        <v>669</v>
      </c>
      <c r="AA279" t="s">
        <v>665</v>
      </c>
      <c r="AB279" t="s">
        <v>12</v>
      </c>
      <c r="AC279" t="s">
        <v>56</v>
      </c>
    </row>
    <row r="280" spans="1:29" x14ac:dyDescent="0.3">
      <c r="A280">
        <v>309</v>
      </c>
      <c r="B280" t="s">
        <v>44</v>
      </c>
      <c r="C280" t="s">
        <v>111</v>
      </c>
      <c r="D280" t="s">
        <v>99</v>
      </c>
      <c r="E280" t="s">
        <v>642</v>
      </c>
      <c r="F280">
        <v>1</v>
      </c>
      <c r="G280">
        <v>4590</v>
      </c>
      <c r="H280">
        <v>0.62</v>
      </c>
      <c r="I280">
        <v>0.05</v>
      </c>
      <c r="J280">
        <v>1661.14</v>
      </c>
      <c r="K280">
        <v>133.33333333333329</v>
      </c>
      <c r="L280">
        <v>1744.1970000000001</v>
      </c>
      <c r="M280">
        <v>2800</v>
      </c>
      <c r="N280">
        <v>2800</v>
      </c>
      <c r="O280" t="s">
        <v>48</v>
      </c>
      <c r="P280">
        <v>2666.6666666666656</v>
      </c>
      <c r="Q280" t="s">
        <v>48</v>
      </c>
      <c r="R280">
        <v>2799.9999999999991</v>
      </c>
      <c r="S280" t="s">
        <v>670</v>
      </c>
      <c r="T280" t="s">
        <v>50</v>
      </c>
      <c r="U280" t="s">
        <v>670</v>
      </c>
      <c r="V280" t="s">
        <v>670</v>
      </c>
      <c r="W280" t="s">
        <v>48</v>
      </c>
      <c r="X280" t="s">
        <v>48</v>
      </c>
      <c r="Y280" t="s">
        <v>48</v>
      </c>
      <c r="Z280" t="s">
        <v>671</v>
      </c>
      <c r="AA280" t="s">
        <v>665</v>
      </c>
      <c r="AB280" t="s">
        <v>12</v>
      </c>
      <c r="AC280" t="s">
        <v>56</v>
      </c>
    </row>
    <row r="281" spans="1:29" x14ac:dyDescent="0.3">
      <c r="A281">
        <v>310</v>
      </c>
      <c r="B281" t="s">
        <v>44</v>
      </c>
      <c r="C281" t="s">
        <v>45</v>
      </c>
      <c r="D281" t="s">
        <v>76</v>
      </c>
      <c r="E281" t="s">
        <v>453</v>
      </c>
      <c r="F281">
        <v>1</v>
      </c>
      <c r="G281">
        <v>2207</v>
      </c>
      <c r="H281">
        <v>0.52</v>
      </c>
      <c r="I281">
        <v>0.05</v>
      </c>
      <c r="J281">
        <v>1008.91</v>
      </c>
      <c r="K281">
        <v>63.04761904761903</v>
      </c>
      <c r="L281">
        <v>1059.3554999999999</v>
      </c>
      <c r="M281">
        <v>1324</v>
      </c>
      <c r="N281">
        <v>1324</v>
      </c>
      <c r="O281" t="s">
        <v>48</v>
      </c>
      <c r="P281">
        <v>1260.9523809523805</v>
      </c>
      <c r="Q281" t="s">
        <v>48</v>
      </c>
      <c r="R281">
        <v>1323.9999999999995</v>
      </c>
      <c r="S281" t="s">
        <v>672</v>
      </c>
      <c r="T281" t="s">
        <v>50</v>
      </c>
      <c r="U281" t="s">
        <v>672</v>
      </c>
      <c r="V281" t="s">
        <v>672</v>
      </c>
      <c r="W281" t="s">
        <v>48</v>
      </c>
      <c r="X281" t="s">
        <v>48</v>
      </c>
      <c r="Y281" t="s">
        <v>48</v>
      </c>
      <c r="Z281" t="s">
        <v>673</v>
      </c>
      <c r="AA281" t="s">
        <v>665</v>
      </c>
      <c r="AB281" t="s">
        <v>12</v>
      </c>
      <c r="AC281" t="s">
        <v>56</v>
      </c>
    </row>
    <row r="282" spans="1:29" x14ac:dyDescent="0.3">
      <c r="A282">
        <v>311</v>
      </c>
      <c r="B282" t="s">
        <v>68</v>
      </c>
      <c r="C282" t="s">
        <v>69</v>
      </c>
      <c r="D282" t="s">
        <v>99</v>
      </c>
      <c r="E282" t="s">
        <v>453</v>
      </c>
      <c r="F282">
        <v>1</v>
      </c>
      <c r="G282">
        <v>9000</v>
      </c>
      <c r="H282">
        <v>0.52</v>
      </c>
      <c r="I282">
        <v>0.18</v>
      </c>
      <c r="J282">
        <v>3661.02</v>
      </c>
      <c r="K282">
        <v>641.68474576271183</v>
      </c>
      <c r="L282">
        <v>4320.0036</v>
      </c>
      <c r="M282">
        <v>4206.6000000000004</v>
      </c>
      <c r="N282">
        <v>4206.6000000000004</v>
      </c>
      <c r="O282" t="s">
        <v>48</v>
      </c>
      <c r="P282">
        <v>3564.9152542372881</v>
      </c>
      <c r="Q282" t="s">
        <v>48</v>
      </c>
      <c r="R282">
        <v>4206.6000000000004</v>
      </c>
      <c r="S282" t="s">
        <v>674</v>
      </c>
      <c r="T282" t="s">
        <v>50</v>
      </c>
      <c r="U282" t="s">
        <v>495</v>
      </c>
      <c r="V282" t="s">
        <v>495</v>
      </c>
      <c r="W282" t="s">
        <v>48</v>
      </c>
      <c r="X282" t="s">
        <v>48</v>
      </c>
      <c r="Y282" t="s">
        <v>48</v>
      </c>
      <c r="Z282" t="s">
        <v>675</v>
      </c>
      <c r="AA282" t="s">
        <v>665</v>
      </c>
      <c r="AB282" t="s">
        <v>12</v>
      </c>
      <c r="AC282" t="s">
        <v>56</v>
      </c>
    </row>
    <row r="283" spans="1:29" x14ac:dyDescent="0.3">
      <c r="A283">
        <v>312</v>
      </c>
      <c r="B283" t="s">
        <v>68</v>
      </c>
      <c r="C283" t="s">
        <v>69</v>
      </c>
      <c r="D283" t="s">
        <v>70</v>
      </c>
      <c r="E283" t="s">
        <v>453</v>
      </c>
      <c r="F283">
        <v>1</v>
      </c>
      <c r="G283">
        <v>9000</v>
      </c>
      <c r="H283">
        <v>0.52</v>
      </c>
      <c r="I283">
        <v>0.18</v>
      </c>
      <c r="J283">
        <v>3661.02</v>
      </c>
      <c r="K283">
        <v>641.68474576271183</v>
      </c>
      <c r="L283">
        <v>4320.0036</v>
      </c>
      <c r="M283">
        <v>4206.6000000000004</v>
      </c>
      <c r="N283">
        <v>4206.6000000000004</v>
      </c>
      <c r="O283" t="s">
        <v>48</v>
      </c>
      <c r="P283">
        <v>3564.9152542372881</v>
      </c>
      <c r="Q283" t="s">
        <v>48</v>
      </c>
      <c r="R283">
        <v>4206.6000000000004</v>
      </c>
      <c r="S283" t="s">
        <v>674</v>
      </c>
      <c r="T283" t="s">
        <v>50</v>
      </c>
      <c r="U283" t="s">
        <v>495</v>
      </c>
      <c r="V283" t="s">
        <v>495</v>
      </c>
      <c r="W283" t="s">
        <v>48</v>
      </c>
      <c r="X283" t="s">
        <v>48</v>
      </c>
      <c r="Y283" t="s">
        <v>48</v>
      </c>
      <c r="Z283" t="s">
        <v>676</v>
      </c>
      <c r="AA283" t="s">
        <v>665</v>
      </c>
      <c r="AB283" t="s">
        <v>12</v>
      </c>
      <c r="AC283" t="s">
        <v>56</v>
      </c>
    </row>
    <row r="284" spans="1:29" x14ac:dyDescent="0.3">
      <c r="A284">
        <v>313</v>
      </c>
      <c r="B284" t="s">
        <v>68</v>
      </c>
      <c r="C284" t="s">
        <v>205</v>
      </c>
      <c r="D284" t="s">
        <v>59</v>
      </c>
      <c r="E284" t="s">
        <v>453</v>
      </c>
      <c r="F284">
        <v>1</v>
      </c>
      <c r="G284">
        <v>8010</v>
      </c>
      <c r="H284">
        <v>0.52</v>
      </c>
      <c r="I284">
        <v>0.18</v>
      </c>
      <c r="J284">
        <v>3258.31</v>
      </c>
      <c r="K284">
        <v>733.11864406779659</v>
      </c>
      <c r="L284">
        <v>3844.8058000000001</v>
      </c>
      <c r="M284">
        <v>4806</v>
      </c>
      <c r="N284">
        <v>4806</v>
      </c>
      <c r="O284" t="s">
        <v>48</v>
      </c>
      <c r="P284">
        <v>4072.8813559322034</v>
      </c>
      <c r="Q284" t="s">
        <v>48</v>
      </c>
      <c r="R284">
        <v>4806</v>
      </c>
      <c r="S284" t="s">
        <v>674</v>
      </c>
      <c r="T284" t="s">
        <v>50</v>
      </c>
      <c r="U284" t="s">
        <v>495</v>
      </c>
      <c r="V284" t="s">
        <v>495</v>
      </c>
      <c r="W284" t="s">
        <v>48</v>
      </c>
      <c r="X284" t="s">
        <v>48</v>
      </c>
      <c r="Y284" t="s">
        <v>48</v>
      </c>
      <c r="Z284" t="s">
        <v>677</v>
      </c>
      <c r="AA284" t="s">
        <v>665</v>
      </c>
      <c r="AB284" t="s">
        <v>12</v>
      </c>
      <c r="AC284" t="s">
        <v>56</v>
      </c>
    </row>
    <row r="285" spans="1:29" x14ac:dyDescent="0.3">
      <c r="A285">
        <v>314</v>
      </c>
      <c r="B285" t="s">
        <v>68</v>
      </c>
      <c r="C285" t="s">
        <v>202</v>
      </c>
      <c r="D285" t="s">
        <v>65</v>
      </c>
      <c r="E285" t="s">
        <v>453</v>
      </c>
      <c r="F285">
        <v>1</v>
      </c>
      <c r="G285">
        <v>8010</v>
      </c>
      <c r="H285">
        <v>0.52</v>
      </c>
      <c r="I285">
        <v>0.18</v>
      </c>
      <c r="J285">
        <v>3529.83</v>
      </c>
      <c r="K285">
        <v>228.85714285714278</v>
      </c>
      <c r="L285">
        <v>4165.1993999999995</v>
      </c>
      <c r="M285">
        <v>4806</v>
      </c>
      <c r="N285">
        <v>4806</v>
      </c>
      <c r="O285" t="s">
        <v>48</v>
      </c>
      <c r="P285">
        <v>4577.1428571428551</v>
      </c>
      <c r="Q285" t="s">
        <v>48</v>
      </c>
      <c r="R285">
        <v>4805.9999999999982</v>
      </c>
      <c r="S285" t="s">
        <v>674</v>
      </c>
      <c r="T285" t="s">
        <v>50</v>
      </c>
      <c r="U285" t="s">
        <v>495</v>
      </c>
      <c r="V285" t="s">
        <v>495</v>
      </c>
      <c r="W285" t="s">
        <v>48</v>
      </c>
      <c r="X285" t="s">
        <v>48</v>
      </c>
      <c r="Y285" t="s">
        <v>48</v>
      </c>
      <c r="Z285" t="s">
        <v>678</v>
      </c>
      <c r="AA285" t="s">
        <v>665</v>
      </c>
      <c r="AB285" t="s">
        <v>12</v>
      </c>
      <c r="AC285" t="s">
        <v>56</v>
      </c>
    </row>
    <row r="286" spans="1:29" x14ac:dyDescent="0.3">
      <c r="A286">
        <v>315</v>
      </c>
      <c r="B286" t="s">
        <v>238</v>
      </c>
      <c r="C286" t="s">
        <v>383</v>
      </c>
      <c r="D286" t="s">
        <v>76</v>
      </c>
      <c r="E286" t="s">
        <v>453</v>
      </c>
      <c r="F286">
        <v>1</v>
      </c>
      <c r="G286">
        <v>2799</v>
      </c>
      <c r="H286">
        <v>0.52</v>
      </c>
      <c r="I286">
        <v>0.05</v>
      </c>
      <c r="J286">
        <v>1279.54</v>
      </c>
      <c r="K286">
        <v>79.999999999999972</v>
      </c>
      <c r="L286">
        <v>1343.5170000000001</v>
      </c>
      <c r="M286">
        <v>1680</v>
      </c>
      <c r="N286">
        <v>1680</v>
      </c>
      <c r="O286" t="s">
        <v>48</v>
      </c>
      <c r="P286">
        <v>1599.9999999999993</v>
      </c>
      <c r="Q286" t="s">
        <v>48</v>
      </c>
      <c r="R286">
        <v>1679.9999999999993</v>
      </c>
      <c r="S286" t="s">
        <v>679</v>
      </c>
      <c r="T286" t="s">
        <v>50</v>
      </c>
      <c r="U286" t="s">
        <v>77</v>
      </c>
      <c r="V286" t="s">
        <v>77</v>
      </c>
      <c r="W286" t="s">
        <v>48</v>
      </c>
      <c r="X286" t="s">
        <v>48</v>
      </c>
      <c r="Y286" t="s">
        <v>48</v>
      </c>
      <c r="Z286" t="s">
        <v>680</v>
      </c>
      <c r="AA286" t="s">
        <v>665</v>
      </c>
      <c r="AB286" t="s">
        <v>12</v>
      </c>
      <c r="AC286" t="s">
        <v>56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cols>
    <col min="1" max="1" width="20" customWidth="1"/>
    <col min="2" max="2" width="25" customWidth="1"/>
    <col min="3" max="3" width="40" customWidth="1"/>
    <col min="4" max="4" width="22" customWidth="1"/>
  </cols>
  <sheetData>
    <row r="1" spans="1:4" s="1" customFormat="1" x14ac:dyDescent="0.3">
      <c r="A1" s="1" t="s">
        <v>681</v>
      </c>
      <c r="B1" s="1" t="s">
        <v>682</v>
      </c>
      <c r="C1" s="1" t="s">
        <v>683</v>
      </c>
      <c r="D1" s="1" t="s">
        <v>5</v>
      </c>
    </row>
    <row r="2" spans="1:4" x14ac:dyDescent="0.3">
      <c r="A2" t="s">
        <v>684</v>
      </c>
      <c r="B2" t="s">
        <v>44</v>
      </c>
      <c r="C2" t="s">
        <v>685</v>
      </c>
      <c r="D2" t="s">
        <v>686</v>
      </c>
    </row>
    <row r="3" spans="1:4" x14ac:dyDescent="0.3">
      <c r="A3" t="s">
        <v>687</v>
      </c>
      <c r="B3" t="s">
        <v>68</v>
      </c>
      <c r="C3" t="s">
        <v>688</v>
      </c>
      <c r="D3" t="s">
        <v>686</v>
      </c>
    </row>
    <row r="4" spans="1:4" x14ac:dyDescent="0.3">
      <c r="A4" t="s">
        <v>689</v>
      </c>
      <c r="B4" t="s">
        <v>185</v>
      </c>
      <c r="C4" t="s">
        <v>690</v>
      </c>
      <c r="D4" t="s">
        <v>691</v>
      </c>
    </row>
    <row r="5" spans="1:4" x14ac:dyDescent="0.3">
      <c r="A5" t="s">
        <v>692</v>
      </c>
      <c r="B5" t="s">
        <v>232</v>
      </c>
      <c r="C5" t="s">
        <v>690</v>
      </c>
      <c r="D5" t="s">
        <v>693</v>
      </c>
    </row>
    <row r="6" spans="1:4" x14ac:dyDescent="0.3">
      <c r="A6" t="s">
        <v>694</v>
      </c>
      <c r="B6" t="s">
        <v>238</v>
      </c>
      <c r="C6" t="s">
        <v>690</v>
      </c>
      <c r="D6" t="s">
        <v>695</v>
      </c>
    </row>
    <row r="7" spans="1:4" x14ac:dyDescent="0.3">
      <c r="A7" t="s">
        <v>696</v>
      </c>
      <c r="B7" t="s">
        <v>300</v>
      </c>
      <c r="C7" t="s">
        <v>690</v>
      </c>
      <c r="D7" t="s">
        <v>697</v>
      </c>
    </row>
    <row r="8" spans="1:4" x14ac:dyDescent="0.3">
      <c r="A8" t="s">
        <v>698</v>
      </c>
      <c r="B8" t="s">
        <v>303</v>
      </c>
      <c r="C8" t="s">
        <v>690</v>
      </c>
      <c r="D8" t="s">
        <v>699</v>
      </c>
    </row>
    <row r="9" spans="1:4" x14ac:dyDescent="0.3">
      <c r="A9" t="s">
        <v>700</v>
      </c>
      <c r="B9" t="s">
        <v>305</v>
      </c>
      <c r="C9" t="s">
        <v>690</v>
      </c>
      <c r="D9" t="s">
        <v>701</v>
      </c>
    </row>
    <row r="10" spans="1:4" x14ac:dyDescent="0.3">
      <c r="A10" t="s">
        <v>702</v>
      </c>
      <c r="B10" t="s">
        <v>538</v>
      </c>
      <c r="C10" t="s">
        <v>690</v>
      </c>
      <c r="D10" t="s">
        <v>703</v>
      </c>
    </row>
    <row r="11" spans="1:4" x14ac:dyDescent="0.3">
      <c r="A11" t="s">
        <v>704</v>
      </c>
      <c r="B11" t="s">
        <v>544</v>
      </c>
      <c r="C11" t="s">
        <v>690</v>
      </c>
      <c r="D11" t="s">
        <v>705</v>
      </c>
    </row>
    <row r="12" spans="1:4" x14ac:dyDescent="0.3">
      <c r="A12" t="s">
        <v>706</v>
      </c>
      <c r="B12" t="s">
        <v>591</v>
      </c>
      <c r="C12" t="s">
        <v>690</v>
      </c>
      <c r="D12" t="s">
        <v>707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4" x14ac:dyDescent="0.3"/>
  <cols>
    <col min="1" max="1" width="20" customWidth="1"/>
    <col min="2" max="3" width="25" customWidth="1"/>
    <col min="4" max="4" width="22" customWidth="1"/>
  </cols>
  <sheetData>
    <row r="1" spans="1:4" s="1" customFormat="1" x14ac:dyDescent="0.3">
      <c r="A1" s="1" t="s">
        <v>708</v>
      </c>
      <c r="B1" s="1" t="s">
        <v>709</v>
      </c>
      <c r="C1" s="1" t="s">
        <v>710</v>
      </c>
      <c r="D1" s="1" t="s">
        <v>5</v>
      </c>
    </row>
    <row r="2" spans="1:4" x14ac:dyDescent="0.3">
      <c r="A2" t="s">
        <v>711</v>
      </c>
      <c r="B2" t="s">
        <v>45</v>
      </c>
      <c r="C2" t="s">
        <v>44</v>
      </c>
      <c r="D2" t="s">
        <v>712</v>
      </c>
    </row>
    <row r="3" spans="1:4" x14ac:dyDescent="0.3">
      <c r="A3" t="s">
        <v>713</v>
      </c>
      <c r="B3" t="s">
        <v>57</v>
      </c>
      <c r="C3" t="s">
        <v>44</v>
      </c>
      <c r="D3" t="s">
        <v>712</v>
      </c>
    </row>
    <row r="4" spans="1:4" x14ac:dyDescent="0.3">
      <c r="A4" t="s">
        <v>714</v>
      </c>
      <c r="B4" t="s">
        <v>75</v>
      </c>
      <c r="C4" t="s">
        <v>44</v>
      </c>
      <c r="D4" t="s">
        <v>712</v>
      </c>
    </row>
    <row r="5" spans="1:4" x14ac:dyDescent="0.3">
      <c r="A5" t="s">
        <v>715</v>
      </c>
      <c r="B5" t="s">
        <v>64</v>
      </c>
      <c r="C5" t="s">
        <v>44</v>
      </c>
      <c r="D5" t="s">
        <v>712</v>
      </c>
    </row>
    <row r="6" spans="1:4" x14ac:dyDescent="0.3">
      <c r="A6" t="s">
        <v>716</v>
      </c>
      <c r="B6" t="s">
        <v>69</v>
      </c>
      <c r="C6" t="s">
        <v>68</v>
      </c>
      <c r="D6" t="s">
        <v>712</v>
      </c>
    </row>
    <row r="7" spans="1:4" x14ac:dyDescent="0.3">
      <c r="A7" t="s">
        <v>717</v>
      </c>
      <c r="B7" t="s">
        <v>82</v>
      </c>
      <c r="C7" t="s">
        <v>44</v>
      </c>
      <c r="D7" t="s">
        <v>712</v>
      </c>
    </row>
    <row r="8" spans="1:4" x14ac:dyDescent="0.3">
      <c r="A8" t="s">
        <v>718</v>
      </c>
      <c r="B8" t="s">
        <v>111</v>
      </c>
      <c r="C8" t="s">
        <v>44</v>
      </c>
      <c r="D8" t="s">
        <v>719</v>
      </c>
    </row>
    <row r="9" spans="1:4" x14ac:dyDescent="0.3">
      <c r="A9" t="s">
        <v>720</v>
      </c>
      <c r="B9" t="s">
        <v>141</v>
      </c>
      <c r="C9" t="s">
        <v>68</v>
      </c>
      <c r="D9" t="s">
        <v>721</v>
      </c>
    </row>
    <row r="10" spans="1:4" x14ac:dyDescent="0.3">
      <c r="A10" t="s">
        <v>722</v>
      </c>
      <c r="B10" t="s">
        <v>186</v>
      </c>
      <c r="C10" t="s">
        <v>185</v>
      </c>
      <c r="D10" t="s">
        <v>723</v>
      </c>
    </row>
    <row r="11" spans="1:4" x14ac:dyDescent="0.3">
      <c r="A11" t="s">
        <v>724</v>
      </c>
      <c r="B11" t="s">
        <v>186</v>
      </c>
      <c r="C11" t="s">
        <v>44</v>
      </c>
      <c r="D11" t="s">
        <v>725</v>
      </c>
    </row>
    <row r="12" spans="1:4" x14ac:dyDescent="0.3">
      <c r="A12" t="s">
        <v>726</v>
      </c>
      <c r="B12" t="s">
        <v>197</v>
      </c>
      <c r="C12" t="s">
        <v>68</v>
      </c>
      <c r="D12" t="s">
        <v>727</v>
      </c>
    </row>
    <row r="13" spans="1:4" x14ac:dyDescent="0.3">
      <c r="A13" t="s">
        <v>728</v>
      </c>
      <c r="B13" t="s">
        <v>202</v>
      </c>
      <c r="C13" t="s">
        <v>68</v>
      </c>
      <c r="D13" t="s">
        <v>729</v>
      </c>
    </row>
    <row r="14" spans="1:4" x14ac:dyDescent="0.3">
      <c r="A14" t="s">
        <v>730</v>
      </c>
      <c r="B14" t="s">
        <v>205</v>
      </c>
      <c r="C14" t="s">
        <v>68</v>
      </c>
      <c r="D14" t="s">
        <v>731</v>
      </c>
    </row>
    <row r="15" spans="1:4" x14ac:dyDescent="0.3">
      <c r="A15" t="s">
        <v>732</v>
      </c>
      <c r="B15" t="s">
        <v>233</v>
      </c>
      <c r="C15" t="s">
        <v>232</v>
      </c>
      <c r="D15" t="s">
        <v>733</v>
      </c>
    </row>
    <row r="16" spans="1:4" x14ac:dyDescent="0.3">
      <c r="A16" t="s">
        <v>734</v>
      </c>
      <c r="B16" t="s">
        <v>239</v>
      </c>
      <c r="C16" t="s">
        <v>238</v>
      </c>
      <c r="D16" t="s">
        <v>735</v>
      </c>
    </row>
    <row r="17" spans="1:4" x14ac:dyDescent="0.3">
      <c r="A17" t="s">
        <v>736</v>
      </c>
      <c r="B17" t="s">
        <v>274</v>
      </c>
      <c r="C17" t="s">
        <v>44</v>
      </c>
      <c r="D17" t="s">
        <v>737</v>
      </c>
    </row>
    <row r="18" spans="1:4" x14ac:dyDescent="0.3">
      <c r="A18" t="s">
        <v>738</v>
      </c>
      <c r="B18" t="s">
        <v>297</v>
      </c>
      <c r="C18" t="s">
        <v>232</v>
      </c>
      <c r="D18" t="s">
        <v>739</v>
      </c>
    </row>
    <row r="19" spans="1:4" x14ac:dyDescent="0.3">
      <c r="A19" t="s">
        <v>740</v>
      </c>
      <c r="B19" t="s">
        <v>300</v>
      </c>
      <c r="C19" t="s">
        <v>300</v>
      </c>
      <c r="D19" t="s">
        <v>741</v>
      </c>
    </row>
    <row r="20" spans="1:4" x14ac:dyDescent="0.3">
      <c r="A20" t="s">
        <v>742</v>
      </c>
      <c r="B20" t="s">
        <v>303</v>
      </c>
      <c r="C20" t="s">
        <v>303</v>
      </c>
      <c r="D20" t="s">
        <v>743</v>
      </c>
    </row>
    <row r="21" spans="1:4" x14ac:dyDescent="0.3">
      <c r="A21" t="s">
        <v>744</v>
      </c>
      <c r="B21" t="s">
        <v>305</v>
      </c>
      <c r="C21" t="s">
        <v>305</v>
      </c>
      <c r="D21" t="s">
        <v>745</v>
      </c>
    </row>
    <row r="22" spans="1:4" x14ac:dyDescent="0.3">
      <c r="A22" t="s">
        <v>746</v>
      </c>
      <c r="B22" t="s">
        <v>373</v>
      </c>
      <c r="C22" t="s">
        <v>44</v>
      </c>
      <c r="D22" t="s">
        <v>747</v>
      </c>
    </row>
    <row r="23" spans="1:4" x14ac:dyDescent="0.3">
      <c r="A23" t="s">
        <v>748</v>
      </c>
      <c r="B23" t="s">
        <v>383</v>
      </c>
      <c r="C23" t="s">
        <v>238</v>
      </c>
      <c r="D23" t="s">
        <v>749</v>
      </c>
    </row>
    <row r="24" spans="1:4" x14ac:dyDescent="0.3">
      <c r="A24" t="s">
        <v>750</v>
      </c>
      <c r="B24" t="s">
        <v>521</v>
      </c>
      <c r="C24" t="s">
        <v>238</v>
      </c>
      <c r="D24" t="s">
        <v>751</v>
      </c>
    </row>
    <row r="25" spans="1:4" x14ac:dyDescent="0.3">
      <c r="A25" t="s">
        <v>752</v>
      </c>
      <c r="B25" t="s">
        <v>539</v>
      </c>
      <c r="C25" t="s">
        <v>538</v>
      </c>
      <c r="D25" t="s">
        <v>753</v>
      </c>
    </row>
    <row r="26" spans="1:4" x14ac:dyDescent="0.3">
      <c r="A26" t="s">
        <v>754</v>
      </c>
      <c r="B26" t="s">
        <v>233</v>
      </c>
      <c r="C26" t="s">
        <v>544</v>
      </c>
      <c r="D26" t="s">
        <v>755</v>
      </c>
    </row>
    <row r="27" spans="1:4" x14ac:dyDescent="0.3">
      <c r="A27" t="s">
        <v>756</v>
      </c>
      <c r="B27" t="s">
        <v>560</v>
      </c>
      <c r="C27" t="s">
        <v>544</v>
      </c>
      <c r="D27" t="s">
        <v>757</v>
      </c>
    </row>
    <row r="28" spans="1:4" x14ac:dyDescent="0.3">
      <c r="A28" t="s">
        <v>758</v>
      </c>
      <c r="B28" t="s">
        <v>592</v>
      </c>
      <c r="C28" t="s">
        <v>591</v>
      </c>
      <c r="D28" t="s">
        <v>759</v>
      </c>
    </row>
    <row r="29" spans="1:4" x14ac:dyDescent="0.3">
      <c r="A29" t="s">
        <v>760</v>
      </c>
      <c r="B29" t="s">
        <v>619</v>
      </c>
      <c r="C29" t="s">
        <v>238</v>
      </c>
      <c r="D29" t="s">
        <v>761</v>
      </c>
    </row>
    <row r="30" spans="1:4" x14ac:dyDescent="0.3">
      <c r="A30" t="s">
        <v>762</v>
      </c>
      <c r="B30" t="s">
        <v>641</v>
      </c>
      <c r="C30" t="s">
        <v>544</v>
      </c>
      <c r="D30" t="s">
        <v>763</v>
      </c>
    </row>
    <row r="31" spans="1:4" x14ac:dyDescent="0.3">
      <c r="A31" t="s">
        <v>764</v>
      </c>
      <c r="B31" t="s">
        <v>114</v>
      </c>
      <c r="C31" t="s">
        <v>68</v>
      </c>
      <c r="D31" t="s">
        <v>765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F8" sqref="F8"/>
    </sheetView>
  </sheetViews>
  <sheetFormatPr defaultRowHeight="14.4" x14ac:dyDescent="0.3"/>
  <cols>
    <col min="1" max="2" width="20" customWidth="1"/>
    <col min="3" max="3" width="15" customWidth="1"/>
    <col min="4" max="4" width="20" customWidth="1"/>
    <col min="5" max="5" width="60" customWidth="1"/>
    <col min="6" max="6" width="20" customWidth="1"/>
    <col min="7" max="7" width="22" customWidth="1"/>
  </cols>
  <sheetData>
    <row r="1" spans="1:7" s="1" customFormat="1" x14ac:dyDescent="0.3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  <c r="G1" s="1" t="s">
        <v>772</v>
      </c>
    </row>
    <row r="2" spans="1:7" x14ac:dyDescent="0.3">
      <c r="A2" t="s">
        <v>777</v>
      </c>
      <c r="B2" t="s">
        <v>778</v>
      </c>
      <c r="C2" t="s">
        <v>779</v>
      </c>
      <c r="D2" t="s">
        <v>48</v>
      </c>
      <c r="E2" t="s">
        <v>780</v>
      </c>
      <c r="F2" t="s">
        <v>7</v>
      </c>
      <c r="G2" t="s">
        <v>781</v>
      </c>
    </row>
    <row r="3" spans="1:7" x14ac:dyDescent="0.3">
      <c r="A3" t="s">
        <v>782</v>
      </c>
      <c r="B3" t="s">
        <v>778</v>
      </c>
      <c r="C3" t="s">
        <v>774</v>
      </c>
      <c r="D3" t="s">
        <v>48</v>
      </c>
      <c r="E3" t="s">
        <v>783</v>
      </c>
      <c r="F3" t="s">
        <v>7</v>
      </c>
      <c r="G3" t="s">
        <v>784</v>
      </c>
    </row>
    <row r="4" spans="1:7" x14ac:dyDescent="0.3">
      <c r="A4" t="s">
        <v>785</v>
      </c>
      <c r="B4" t="s">
        <v>786</v>
      </c>
      <c r="C4" t="s">
        <v>775</v>
      </c>
      <c r="D4" t="s">
        <v>776</v>
      </c>
      <c r="E4" t="s">
        <v>787</v>
      </c>
      <c r="F4" t="s">
        <v>7</v>
      </c>
      <c r="G4" t="s">
        <v>788</v>
      </c>
    </row>
    <row r="5" spans="1:7" x14ac:dyDescent="0.3">
      <c r="A5" t="s">
        <v>789</v>
      </c>
      <c r="B5" t="s">
        <v>786</v>
      </c>
      <c r="C5" t="s">
        <v>775</v>
      </c>
      <c r="D5" t="s">
        <v>790</v>
      </c>
      <c r="E5" t="s">
        <v>791</v>
      </c>
      <c r="F5" t="s">
        <v>7</v>
      </c>
      <c r="G5" t="s">
        <v>792</v>
      </c>
    </row>
    <row r="6" spans="1:7" x14ac:dyDescent="0.3">
      <c r="A6" t="s">
        <v>793</v>
      </c>
      <c r="B6" t="s">
        <v>773</v>
      </c>
      <c r="C6" t="s">
        <v>774</v>
      </c>
      <c r="D6" t="s">
        <v>48</v>
      </c>
      <c r="E6" t="s">
        <v>794</v>
      </c>
      <c r="F6" t="s">
        <v>12</v>
      </c>
      <c r="G6" t="s">
        <v>795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Inventory</vt:lpstr>
      <vt:lpstr>ShoeTypes</vt:lpstr>
      <vt:lpstr>Models</vt:lpstr>
      <vt:lpstr>AuditLog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2026-03-28T06:51:26Z</dcterms:created>
  <dcterms:modified xsi:type="dcterms:W3CDTF">2026-04-12T06:00:15Z</dcterms:modified>
  <cp:category/>
</cp:coreProperties>
</file>